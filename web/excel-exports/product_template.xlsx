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ro360\Documents\NORMAN\web\excel-exports\"/>
    </mc:Choice>
  </mc:AlternateContent>
  <xr:revisionPtr revIDLastSave="0" documentId="13_ncr:1_{47383066-DB1A-4E83-9FC1-ADA7BCA99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ZennOn" sheetId="5" r:id="rId2"/>
    <sheet name="Planika" sheetId="4" r:id="rId3"/>
    <sheet name="Dooq" sheetId="3" r:id="rId4"/>
    <sheet name="BFriends" sheetId="2" r:id="rId5"/>
  </sheets>
  <definedNames>
    <definedName name="_xlnm._FilterDatabase" localSheetId="0" hidden="1">Productos!$A$1:$M$92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B8" i="2"/>
  <c r="K7" i="2"/>
  <c r="B7" i="2"/>
  <c r="K6" i="2"/>
  <c r="B6" i="2"/>
  <c r="K5" i="2"/>
  <c r="B5" i="2"/>
  <c r="K4" i="2"/>
  <c r="B4" i="2"/>
  <c r="K3" i="2"/>
  <c r="B3" i="2"/>
  <c r="K2" i="2"/>
  <c r="B2" i="2"/>
  <c r="B2" i="1"/>
  <c r="K3" i="1"/>
  <c r="K4" i="1"/>
  <c r="K5" i="1"/>
  <c r="K6" i="1"/>
  <c r="K7" i="1"/>
  <c r="K8" i="1"/>
  <c r="K2" i="1"/>
  <c r="B4" i="1"/>
  <c r="B5" i="1"/>
  <c r="B6" i="1"/>
  <c r="B7" i="1"/>
  <c r="B8" i="1"/>
  <c r="B3" i="1"/>
</calcChain>
</file>

<file path=xl/sharedStrings.xml><?xml version="1.0" encoding="utf-8"?>
<sst xmlns="http://schemas.openxmlformats.org/spreadsheetml/2006/main" count="1493" uniqueCount="455">
  <si>
    <t>External ID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</si>
  <si>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</si>
  <si>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</si>
  <si>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</si>
  <si>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</si>
  <si>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</si>
  <si>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</si>
  <si>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</si>
  <si>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</si>
  <si>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Marca/Empresa</t>
  </si>
  <si>
    <t>Descripción</t>
  </si>
  <si>
    <t>Moneda</t>
  </si>
  <si>
    <t>URL</t>
  </si>
  <si>
    <t>MOOMOOD0067</t>
  </si>
  <si>
    <t>Mood AI — Diario de Ánimo Inteligente (BFriends_Edu)</t>
  </si>
  <si>
    <t>Service</t>
  </si>
  <si>
    <t>MOOD0067</t>
  </si>
  <si>
    <t>Registro diario de estado de ánimo | Análisis de patrones emocionales con IA | Recomendaciones personalizadas | Gráficos de evolución emocional | Recordatorios de autocuidado</t>
  </si>
  <si>
    <t>Diario de ánimo con inteligencia artificial que analiza patrones emocionales y ofrece recomendaciones personalizadas.</t>
  </si>
  <si>
    <t>COP</t>
  </si>
  <si>
    <t>THETERA0068</t>
  </si>
  <si>
    <t>Terapia Virtual con Especialistas (BFriends_Edu)</t>
  </si>
  <si>
    <t>TERA0068</t>
  </si>
  <si>
    <t>Buscar psicólogos por especialidad | Sesiones virtuales en vivo | Agenda de citas integrada | Seguimiento de sesiones | Facturación electrónica</t>
  </si>
  <si>
    <t>Conexión con psicólogos y terapeutas certificados para sesiones virtuales individuales o grupales.</t>
  </si>
  <si>
    <t>MARMARK0069</t>
  </si>
  <si>
    <t>Marketplace de Psicólogos (BFriends_Edu)</t>
  </si>
  <si>
    <t>MARK0069</t>
  </si>
  <si>
    <t>Filtros por especialidad y ubicación | Reseñas y calificaciones | Perfil detallado de cada profesional | Agenda de disponibilidad | Reserva en línea</t>
  </si>
  <si>
    <t>Marketplace para encontrar y contratar psicólogos, terapeutas y coaches certificados.</t>
  </si>
  <si>
    <t>BFRBFRI0070</t>
  </si>
  <si>
    <t>BFriends Edu — Programa Escolar Integral (BFriends_Edu)</t>
  </si>
  <si>
    <t>BFRI0070</t>
  </si>
  <si>
    <t>Prevención de bullying y ciberbullying | Detección temprana de riesgos psicosociales | Talleres de bienestar emocional | Formación de docentes en salud mental | Canal de comunicación segura con padres | Dashboard de bienestar institucional</t>
  </si>
  <si>
    <t>Programa escolar integral para prevención de bullying y riesgos psicosociales en instituciones educativas.</t>
  </si>
  <si>
    <t>BFRBFRI0071</t>
  </si>
  <si>
    <t>BFriends Edu — School Start (BFriends_Edu)</t>
  </si>
  <si>
    <t>BFRI0071</t>
  </si>
  <si>
    <t>Hasta 300 estudiantes | Prevención de bullying | Talleres de bienestar emocional | Formación docente básica | Dashboard de bienestar</t>
  </si>
  <si>
    <t>Plan escolar para instituciones con hasta 300 estudiantes.</t>
  </si>
  <si>
    <t>BFRBFRI0072</t>
  </si>
  <si>
    <t>BFriends Edu — School Plus (BFriends_Edu)</t>
  </si>
  <si>
    <t>BFRI0072</t>
  </si>
  <si>
    <t>Hasta 800 estudiantes | Prevención de bullying avanzada | Talleres de bienestar emocional | Formación docente intensiva | Dashboard de bienestar avanzado | Soporte prioritario</t>
  </si>
  <si>
    <t>Plan escolar para instituciones con hasta 800 estudiantes.</t>
  </si>
  <si>
    <t>BFRBFRI0073</t>
  </si>
  <si>
    <t>BFriends Edu — School Premium (BFriends_Edu)</t>
  </si>
  <si>
    <t>BFRI0073</t>
  </si>
  <si>
    <t>Más de 800 estudiantes | Prevención de bullying completa | Talleres de bienestar emocional | Formación docente premium | Dashboard de bienestar avanzado | Soporte 24/7 | Asesor dedicado</t>
  </si>
  <si>
    <t>Plan escolar para instituciones con más de 800 estudiantes.</t>
  </si>
  <si>
    <t>MOONAN0085</t>
  </si>
  <si>
    <t>NAN0085</t>
  </si>
  <si>
    <t>Recordatorios de autocuidado</t>
  </si>
  <si>
    <t>THENAN0086</t>
  </si>
  <si>
    <t>NAN0086</t>
  </si>
  <si>
    <t>Facturación electrónica</t>
  </si>
  <si>
    <t>MARNAN0087</t>
  </si>
  <si>
    <t>NAN0087</t>
  </si>
  <si>
    <t>Reserva en línea</t>
  </si>
  <si>
    <t>BFRNAN0088</t>
  </si>
  <si>
    <t>NAN0088</t>
  </si>
  <si>
    <t>Dashboard de bienestar institucional</t>
  </si>
  <si>
    <t>BFRNAN0089</t>
  </si>
  <si>
    <t>NAN0089</t>
  </si>
  <si>
    <t>Dashboard de bienestar</t>
  </si>
  <si>
    <t>BFRNAN0090</t>
  </si>
  <si>
    <t>NAN0090</t>
  </si>
  <si>
    <t>Soporte prioritario</t>
  </si>
  <si>
    <t>BFRNAN0091</t>
  </si>
  <si>
    <t>NAN0091</t>
  </si>
  <si>
    <t>Asesor dedicado</t>
  </si>
  <si>
    <t>OPTOPTI0001</t>
  </si>
  <si>
    <t>Optimización &amp; Indexación (Bases_de_Datos)</t>
  </si>
  <si>
    <t>OPTI0001</t>
  </si>
  <si>
    <t>MySQL | PostgreSQL | SQL Server | Oracle | MongoDB | MariaDB</t>
  </si>
  <si>
    <t>Dooq</t>
  </si>
  <si>
    <t>Indexación, afinación de queries y tuning</t>
  </si>
  <si>
    <t>MIGMIGR0002</t>
  </si>
  <si>
    <t>Migración de Base de Datos (Bases_de_Datos)</t>
  </si>
  <si>
    <t>MIGR0002</t>
  </si>
  <si>
    <t>Zero downtime migration | Sanitización de datos | Validación de esquema | Pruebas de carga</t>
  </si>
  <si>
    <t>Migración segura sin pérdida de servicio</t>
  </si>
  <si>
    <t>ALTALTA0003</t>
  </si>
  <si>
    <t>Alta Disponibilidad (Replicación) (Bases_de_Datos)</t>
  </si>
  <si>
    <t>ALTA0003</t>
  </si>
  <si>
    <t>Replicación síncrona | Failover automático | Recuperación ante desastres (DRP) | Monitoreo 24/7</t>
  </si>
  <si>
    <t>Arquitecturas Master-Replica y Clusters</t>
  </si>
  <si>
    <t>AUDAUDI0004</t>
  </si>
  <si>
    <t>Auditoría de Ciberseguridad (Ciberseguridad)</t>
  </si>
  <si>
    <t>AUDI0004</t>
  </si>
  <si>
    <t>Escaneo de puertos y servicios | Análisis de configuraciones | Informe de riesgos e impactos | Plan de remediación</t>
  </si>
  <si>
    <t>Evaluación de vulnerabilidades informáticas</t>
  </si>
  <si>
    <t>PENPENT0005</t>
  </si>
  <si>
    <t>Pentesting Ético (Pruebas de Ataque) (Ciberseguridad)</t>
  </si>
  <si>
    <t>PENT0005</t>
  </si>
  <si>
    <t>Hacking ético web / app | Pruebas de ingeniería social | Informe técnico ejecutivo | Re-evaluación post-remediación</t>
  </si>
  <si>
    <t>Simulación de ataques externos e internos</t>
  </si>
  <si>
    <t>CLOCLOU0006</t>
  </si>
  <si>
    <t>Cloud Setup (Cloud)</t>
  </si>
  <si>
    <t>CLOU0006</t>
  </si>
  <si>
    <t>Migración a AWS / Azure / GCP | Dockerización de apps | SSL &amp; Dominios | Backups automáticos</t>
  </si>
  <si>
    <t>Configuración inicial y migración limpia</t>
  </si>
  <si>
    <t>CLOCLOU0007</t>
  </si>
  <si>
    <t>Cloud Business (Cloud)</t>
  </si>
  <si>
    <t>CLOU0007</t>
  </si>
  <si>
    <t>Clusters de Kubernetes | Auto-scaling infra | CDNs globales | Monitoreo CloudWatch / Datadog</t>
  </si>
  <si>
    <t>Arquitectura escalable para negocios en crecimiento</t>
  </si>
  <si>
    <t>CLOCLOU0008</t>
  </si>
  <si>
    <t>Cloud Enterprise (Cloud)</t>
  </si>
  <si>
    <t>CLOU0008</t>
  </si>
  <si>
    <t>Multi-region failover | Arquitectura Zero Trust | Cumplimiento ISO / SOC2 | Soporte dedicado DevOps</t>
  </si>
  <si>
    <t>Infraestructura multi-nube redundante</t>
  </si>
  <si>
    <t>CONCONS0009</t>
  </si>
  <si>
    <t>Consultoría Técnica por Hora (Consultor_a)</t>
  </si>
  <si>
    <t>CONS0009</t>
  </si>
  <si>
    <t>Diagnóstico rápido | Revisión de arquitectura | Consultoría vía Meet/Teams | Recomendaciones inmediatas</t>
  </si>
  <si>
    <t>Asesoría puntual con Ingeniero Senior o Arquitecto</t>
  </si>
  <si>
    <t>CONCONS0010</t>
  </si>
  <si>
    <t>Consultoría en Arquitectura TI (Consultor_a)</t>
  </si>
  <si>
    <t>CONS0010</t>
  </si>
  <si>
    <t>Evaluación de infraestructura | Plan de modernización de legado | Definición de estándares TI | Selección de tecnologías</t>
  </si>
  <si>
    <t>Diseño de hojas de ruta de tecnología a largo plazo</t>
  </si>
  <si>
    <t>DISDISE0011</t>
  </si>
  <si>
    <t>Diseño de Logo &amp; Marca (Dise_o)</t>
  </si>
  <si>
    <t>DISE0011</t>
  </si>
  <si>
    <t>Manual de uso básico | Archivos vectoriales (SVG, AI, PNG) | Variaciones en positivo y negativo</t>
  </si>
  <si>
    <t>Creación de logotipo vectorial con 3 propuestas</t>
  </si>
  <si>
    <t>BRABRAN0012</t>
  </si>
  <si>
    <t>Branding &amp; Identidad Completa (Dise_o)</t>
  </si>
  <si>
    <t>BRAN0012</t>
  </si>
  <si>
    <t>Naming y concepto | Paleta de color y tipografías | Papelería corporativa | Plantillas para redes sociales</t>
  </si>
  <si>
    <t>Sistema visual corporativo integral</t>
  </si>
  <si>
    <t>MANMANU0013</t>
  </si>
  <si>
    <t>Manual de Identidad Corporativa (Dise_o)</t>
  </si>
  <si>
    <t>MANU0013</t>
  </si>
  <si>
    <t>Reglas de uso de marca | Mockups y señalética | Patrones y elementos gráficos | Guía digital PDF interactivas</t>
  </si>
  <si>
    <t>Guía completa de aplicación de marca</t>
  </si>
  <si>
    <t>DISDISE0014</t>
  </si>
  <si>
    <t>Diseño de Interfaz UI (Figma) (Dise_o)</t>
  </si>
  <si>
    <t>DISE0014</t>
  </si>
  <si>
    <t>Prototipo Figma interactivo | Design System básico | Diseño Responsive | Export de assets</t>
  </si>
  <si>
    <t>Diseño visual de aplicaciones web y móviles</t>
  </si>
  <si>
    <t>INVINVE0015</t>
  </si>
  <si>
    <t>Investigación &amp; Arquitectura UX (Dise_o)</t>
  </si>
  <si>
    <t>INVE0015</t>
  </si>
  <si>
    <t>User research y entrevistas | Wireframing de alta fidelidad | Audit de usabilidad heuristic | Tests A/B recomendados</t>
  </si>
  <si>
    <t>Pruebas de usabilidad, mapas de usuario y wireframes</t>
  </si>
  <si>
    <t>MANMANT0016</t>
  </si>
  <si>
    <t>Mantenimiento Preventivo PC (Hardware)</t>
  </si>
  <si>
    <t>MANT0016</t>
  </si>
  <si>
    <t>Limpieza interna de componentes | Cambio de pasta térmica | Optimización de S.O. | Diagnóstico térmico</t>
  </si>
  <si>
    <t>Limpieza física, pasta térmica y optimización</t>
  </si>
  <si>
    <t>SERSERV0017</t>
  </si>
  <si>
    <t>Servidores &amp; Storage (Hardware)</t>
  </si>
  <si>
    <t>SERV0017</t>
  </si>
  <si>
    <t>Configuración RAID | Limpieza de chasis rack | Actualización de Firmware | Sustitución de fuentes/discos</t>
  </si>
  <si>
    <t>Mantenimiento e instalación de racks y servidores</t>
  </si>
  <si>
    <t>DIADIAG0018</t>
  </si>
  <si>
    <t>Diagnóstico Especializado (Hardware)</t>
  </si>
  <si>
    <t>DIAG0018</t>
  </si>
  <si>
    <t>Test de tarjeta madre | Análisis de memoria RAM | Diagnóstico de disco | Informe técnico escrito</t>
  </si>
  <si>
    <t>Identificación precisa de fallas de hardware</t>
  </si>
  <si>
    <t>INSINST0019</t>
  </si>
  <si>
    <t>Instalación de Estaciones (Hardware)</t>
  </si>
  <si>
    <t>INST0019</t>
  </si>
  <si>
    <t>Montaje físico | Configuración de perfil | Cableado de puesto | Pruebas de periféricos</t>
  </si>
  <si>
    <t>Ensamble y puesta a punto de puestos de trabajo</t>
  </si>
  <si>
    <t>TICTICK0020</t>
  </si>
  <si>
    <t>Ticket Básico (Helpdesk)</t>
  </si>
  <si>
    <t>TICK0020</t>
  </si>
  <si>
    <t>Tiempo de respuesta &lt;= 24 horas | Q-Task asignado | Atención remota</t>
  </si>
  <si>
    <t>Resolución de incidencias leves</t>
  </si>
  <si>
    <t>TICTICK0021</t>
  </si>
  <si>
    <t>Ticket Prioritario (Helpdesk)</t>
  </si>
  <si>
    <t>TICK0021</t>
  </si>
  <si>
    <t>Tiempo de respuesta &lt;= 12 horas | Ingeniero asignado | Soporte teléfono / chat</t>
  </si>
  <si>
    <t>Resolución con atención prioritaria</t>
  </si>
  <si>
    <t>TICTICK0022</t>
  </si>
  <si>
    <t>Ticket Urgente (Helpdesk)</t>
  </si>
  <si>
    <t>TICK0022</t>
  </si>
  <si>
    <t>Tiempo de respuesta &lt;= 4 horas | Asistencia remota inmediata | Escalamiento directo</t>
  </si>
  <si>
    <t>Atención rápida para problemas operativos</t>
  </si>
  <si>
    <t>TICTICK0023</t>
  </si>
  <si>
    <t>Ticket Crítico (Falla general) (Helpdesk)</t>
  </si>
  <si>
    <t>TICK0023</t>
  </si>
  <si>
    <t>Tiempo de respuesta &lt;= 2 horas | Atención 24/7 inmediata | Despliegue presencial si aplica</t>
  </si>
  <si>
    <t>Interrupción crítica del servicio</t>
  </si>
  <si>
    <t>MESMESA0024</t>
  </si>
  <si>
    <t>Mesa de Ayuda Outsourcing (Helpdesk)</t>
  </si>
  <si>
    <t>MESA0024</t>
  </si>
  <si>
    <t>Soporte ilimitado bajo SLA | Administración de usuarios | Gestión de activos informáticos | Informes mensuales de estado</t>
  </si>
  <si>
    <t>Gestión integral del departamento de TI</t>
  </si>
  <si>
    <t>IA IAS0025</t>
  </si>
  <si>
    <t>IA Starter (IA)</t>
  </si>
  <si>
    <t>IAS0025</t>
  </si>
  <si>
    <t>Chatbots multicanal | Automatización básica | Modelos LLM estándar | RPA de tareas repetitivas</t>
  </si>
  <si>
    <t>Soluciones de entrada para automatización</t>
  </si>
  <si>
    <t>IA IAB0026</t>
  </si>
  <si>
    <t>IA Business (IA)</t>
  </si>
  <si>
    <t>IAB0026</t>
  </si>
  <si>
    <t>Analítica predictiva | Automatización documental OCR | Agentes inteligentes | Asistentes de ventas</t>
  </si>
  <si>
    <t>Analítica predictiva y asistentes corporativos</t>
  </si>
  <si>
    <t>IA IAE0027</t>
  </si>
  <si>
    <t>IA Enterprise (IA)</t>
  </si>
  <si>
    <t>IAE0027</t>
  </si>
  <si>
    <t>Fine-tuning de modelos LLM | RAG con datos propios | Pipeline IA de punta a punta | Integración en tiempo real</t>
  </si>
  <si>
    <t>Sistemas IA personalizados con modelos ajustados</t>
  </si>
  <si>
    <t>PLAPLAN0028</t>
  </si>
  <si>
    <t>Plan Marketing Start (Marketing_Digital)</t>
  </si>
  <si>
    <t>PLAN0028</t>
  </si>
  <si>
    <t>SEO básico | Gestión de Google Ads | 2 Redes sociales (Meta) | Reporte mensual de rendimiento</t>
  </si>
  <si>
    <t>Posicionamiento inicial de marca</t>
  </si>
  <si>
    <t>PLAPLAN0029</t>
  </si>
  <si>
    <t>Plan Marketing Growth (Marketing_Digital)</t>
  </si>
  <si>
    <t>PLAN0029</t>
  </si>
  <si>
    <t>Campañas en Facebook/Instagram/TikTok | Copywriting estratégico | Email marketing | Diseño de piezas publicitarias</t>
  </si>
  <si>
    <t>Crecimiento de prospectos y leads cualificados</t>
  </si>
  <si>
    <t>REGREGI0030</t>
  </si>
  <si>
    <t>Registro Gratuito (Marketplace)</t>
  </si>
  <si>
    <t>REGI0030</t>
  </si>
  <si>
    <t>Perfil en hub.dooq.dev | Recepción de ofertas</t>
  </si>
  <si>
    <t>Acceso básico al marketplace de aliados DOOQ</t>
  </si>
  <si>
    <t>PLAPLAN0031</t>
  </si>
  <si>
    <t>Plan Silver (Marketplace)</t>
  </si>
  <si>
    <t>PLAN0031</t>
  </si>
  <si>
    <t>Mayor visibilidad local | Insignia verificado</t>
  </si>
  <si>
    <t>Mayor visibilidad local para tu negocio</t>
  </si>
  <si>
    <t>PLAPLAN0032</t>
  </si>
  <si>
    <t>Plan Gold (Marketplace)</t>
  </si>
  <si>
    <t>PLAN0032</t>
  </si>
  <si>
    <t>Prioridad en asignación de Q-Tasks | Soporte 24/7</t>
  </si>
  <si>
    <t>Prioridad en asignación de Q-Tasks y soporte dedicado</t>
  </si>
  <si>
    <t>PLAPLAN0033</t>
  </si>
  <si>
    <t>Plan Platinum (Marketplace)</t>
  </si>
  <si>
    <t>PLAN0033</t>
  </si>
  <si>
    <t>Visibilidad máxima en hub.dooq.dev | Insignia de aliado certificado DOOQ | Prioridad absoluta en licitaciones | Perfil destacado &amp; Estadísticas avanzadas</t>
  </si>
  <si>
    <t>Visibilidad máxima y aliado certificado DOOQ</t>
  </si>
  <si>
    <t>ODOODOO0034</t>
  </si>
  <si>
    <t>Odoo Básico (Instalación + Configuración) (Odoo_ERP)</t>
  </si>
  <si>
    <t>ODOO0034</t>
  </si>
  <si>
    <t>Odoo Community o Enterprise | Configuración moneda e impuestos DIAN | Módulos: Facturación, Inventario, CRM | Formación de usuarios | Infraestructura VPS 2vCPU / 2GB RAM</t>
  </si>
  <si>
    <t>Instalación y configuración de Odoo con módulos nativos y configuración fiscal DIAN.</t>
  </si>
  <si>
    <t>IMPIMPL0035</t>
  </si>
  <si>
    <t>Implementación Odoo (Avanzada / ERP) (Odoo_ERP)</t>
  </si>
  <si>
    <t>IMPL0035</t>
  </si>
  <si>
    <t>Mapeo: Compras, Ventas, Contabilidad, Nomina, POS | E-commerce integrado Odoo | Flujos de aprobación y automatizaciones | Capacitación intensiva personal | VPS NVMe</t>
  </si>
  <si>
    <t>Mapeo de procesos empresariales completo: Compras, Ventas, Contabilidad, Nomina, POS y E-commerce.</t>
  </si>
  <si>
    <t>DESDESA0036</t>
  </si>
  <si>
    <t>Desarrollo de Modulo Odoo (A la medida) (Odoo_ERP)</t>
  </si>
  <si>
    <t>DESA0036</t>
  </si>
  <si>
    <t>Python y XML (framework Odoo) | Conectores PayU/Wompi/ePayco | Automatizaciones de bodegas y logistica | Reportes gerenciales exclusivos | Integración con APIs de terceros y DIAN | VPS dedicado optimizado</t>
  </si>
  <si>
    <t>Programación Python/XML en framework Odoo para funcionalidades exclusivas.</t>
  </si>
  <si>
    <t>LANLAND0037</t>
  </si>
  <si>
    <t>Landing Page (Paginas_Web)</t>
  </si>
  <si>
    <t>LAND0037</t>
  </si>
  <si>
    <t>Copywriting persuasivo y estructura de conversión | Botón WhatsApp flotante | Formulario de contacto | Diseño 100% responsive | Optimización para velocidad de carga</t>
  </si>
  <si>
    <t>Página de aterrizaje para campañas publicitarias, lanzamiento de productos o captación de leads.</t>
  </si>
  <si>
    <t>PÁGPGI0038</t>
  </si>
  <si>
    <t>Página Web Básica / Portafolio (Paginas_Web)</t>
  </si>
  <si>
    <t>PGI0038</t>
  </si>
  <si>
    <t>4–6 páginas estáticas | Diseño responsivo | Correos corporativos | Google Analytics | Formulario de contacto</t>
  </si>
  <si>
    <t>Presencia digital inicial para freelancers, profesionales y pequeños negocios.</t>
  </si>
  <si>
    <t>PÁGPGI0039</t>
  </si>
  <si>
    <t>Página Web Corporativa (Paginas_Web)</t>
  </si>
  <si>
    <t>PGI0039</t>
  </si>
  <si>
    <t>8–15 páginas estructuradas | Blog corporativo | SEO on-page | UX/UI a medida | Seguridad anti-malware | Pasarelas de pago</t>
  </si>
  <si>
    <t>Sitio web empresarial para PyMEs con arquitectura avanzada, blog y SEO.</t>
  </si>
  <si>
    <t>TIETIEN0040</t>
  </si>
  <si>
    <t>Tienda Online / E-commerce (Paginas_Web)</t>
  </si>
  <si>
    <t>TIEN0040</t>
  </si>
  <si>
    <t>Catálogo de productos | Carrito y checkout seguro | PayU, Wompi, ePayco, PSE | Gestión de inventarios | Zonas de usuario</t>
  </si>
  <si>
    <t>Plataforma de comercio electrónico con carrito, checkout y pasarelas de pago.</t>
  </si>
  <si>
    <t>DESDESA0041</t>
  </si>
  <si>
    <t>Desarrollo a la Medida / SaaS (Paginas_Web)</t>
  </si>
  <si>
    <t>DESA0041</t>
  </si>
  <si>
    <t>Programación desde cero | Base de datos robusta | Integración CRM/ERP/DIAN | Arquitectura cloud-native | API RESTful</t>
  </si>
  <si>
    <t>Aplicaciones web complejas con integración CRM/ERP/DIAN.</t>
  </si>
  <si>
    <t>Q-SQST0047</t>
  </si>
  <si>
    <t>Q-Starter (Q_Packs)</t>
  </si>
  <si>
    <t>QST0047</t>
  </si>
  <si>
    <t>10 horas de soporte | Tickets y ajustes pequeños | Soporte remoto</t>
  </si>
  <si>
    <t>10 horas de soporte técnico y ajustes menores</t>
  </si>
  <si>
    <t>Q-GQGR0048</t>
  </si>
  <si>
    <t>Q-Growth (Q_Packs)</t>
  </si>
  <si>
    <t>QGR0048</t>
  </si>
  <si>
    <t>30 horas de desarrollo | Mantenimiento continuo | Soporte remoto</t>
  </si>
  <si>
    <t>30 horas para desarrollo continuo y mantenimiento</t>
  </si>
  <si>
    <t>Q-SQSP0049</t>
  </si>
  <si>
    <t>Q-Sprint (Q_Packs)</t>
  </si>
  <si>
    <t>QSP0049</t>
  </si>
  <si>
    <t>42 horas de trabajo | Ciclo completo de software/diseño | IVA incluido</t>
  </si>
  <si>
    <t>42 horas para ciclo completo de software o diseño</t>
  </si>
  <si>
    <t>Q-SQSC0050</t>
  </si>
  <si>
    <t>Q-Scale (Q_Packs)</t>
  </si>
  <si>
    <t>QSC0050</t>
  </si>
  <si>
    <t>60 horas de desarrollo | Evolución tecnológica constante | Soporte prioritario</t>
  </si>
  <si>
    <t>60 horas para evolución tecnológica constante</t>
  </si>
  <si>
    <t>Q-IQIN0051</t>
  </si>
  <si>
    <t>Q-Infinite (Q_Packs)</t>
  </si>
  <si>
    <t>QIN0051</t>
  </si>
  <si>
    <t>120 horas de soporte | Socio tecnológico permanente | Soporte 24/7</t>
  </si>
  <si>
    <t>120 horas como socio tecnológico permanente</t>
  </si>
  <si>
    <t>INSINST0052</t>
  </si>
  <si>
    <t>Instalación &amp; Config Router (Redes)</t>
  </si>
  <si>
    <t>INST0052</t>
  </si>
  <si>
    <t>Segmentación VLANs | Calidad de Servicio QoS | Seguridad Wi-Fi | Reglas NAT</t>
  </si>
  <si>
    <t>Configuración avanzada de equipos MikroTik, Cisco, Ubiquiti</t>
  </si>
  <si>
    <t>FIRFIRE0053</t>
  </si>
  <si>
    <t>Firewall Perimetral (Redes)</t>
  </si>
  <si>
    <t>FIRE0053</t>
  </si>
  <si>
    <t>Filtrado de contenido web | Prevención de intrusos IPS | Control de aplicaciones | VPN SSL</t>
  </si>
  <si>
    <t>Protección contra intrusiones Fortinet / SonicWall / pfSense</t>
  </si>
  <si>
    <t>VPNVPN0054</t>
  </si>
  <si>
    <t>VPN Corporativa Site-to-Site (Redes)</t>
  </si>
  <si>
    <t>VPN0054</t>
  </si>
  <si>
    <t>Encriptación IPsec / WireGuard | Acceso remoto seguro | Autenticación 2FA | Monitoreo de túnele</t>
  </si>
  <si>
    <t>Conexión segura entre sedes y teletrabajadores</t>
  </si>
  <si>
    <t>CABCABL0055</t>
  </si>
  <si>
    <t>Cableado Estructurado Cat6 / 6A (Redes)</t>
  </si>
  <si>
    <t>CABL0055</t>
  </si>
  <si>
    <t>Certificación de punto de red | Organización de rack | Patch panels | Garantía de instalación</t>
  </si>
  <si>
    <t>Puntos de red certificados para voz y datos</t>
  </si>
  <si>
    <t>WIFWIFI0056</t>
  </si>
  <si>
    <t>WiFi Empresarial Ubiquiti / Aruba (Redes)</t>
  </si>
  <si>
    <t>WIFI0056</t>
  </si>
  <si>
    <t>Roaming transparente | Portal cautivo de invitados | Análisis de espectro | Gestión centralizada</t>
  </si>
  <si>
    <t>Redes inalámbricas de alta densidad sin puntos ciegos</t>
  </si>
  <si>
    <t>DOODOOQ0057</t>
  </si>
  <si>
    <t>DOOQ Start (Software)</t>
  </si>
  <si>
    <t>DOOQ0057</t>
  </si>
  <si>
    <t>Landing Page | Correo empresarial | Dominio .dooq.dev | Hosting | SSL | Capacitación</t>
  </si>
  <si>
    <t>Ideal para emprendedores.</t>
  </si>
  <si>
    <t>DOODOOQ0058</t>
  </si>
  <si>
    <t>DOOQ Business (Software)</t>
  </si>
  <si>
    <t>DOOQ0058</t>
  </si>
  <si>
    <t>Sitio Web Corporativo | Panel Administrativo | Formularios | Integración WhatsApp | SEO básico</t>
  </si>
  <si>
    <t>Ideal para PYMES</t>
  </si>
  <si>
    <t>DOODOOQ0059</t>
  </si>
  <si>
    <t>DOOQ Professional (Software)</t>
  </si>
  <si>
    <t>DOOQ0059</t>
  </si>
  <si>
    <t>Sistema Web completo | Base de Datos | Usuarios y roles | Reportes dinámicos | Dashboard analytics | API RESTful</t>
  </si>
  <si>
    <t>Sistemas web interactivos</t>
  </si>
  <si>
    <t>DOODOOQ0060</t>
  </si>
  <si>
    <t>DOOQ Enterprise (Software)</t>
  </si>
  <si>
    <t>DOOQ0060</t>
  </si>
  <si>
    <t>Arquitectura de software | Microservicios | APIs enterprise | Integración IA | Automatización de flujos | DevOps &amp; CI/CD</t>
  </si>
  <si>
    <t>Software empresarial personalizado de alta escala</t>
  </si>
  <si>
    <t>ANDANDR0061</t>
  </si>
  <si>
    <t>Android Native / Kotlin (Software)</t>
  </si>
  <si>
    <t>ANDR0061</t>
  </si>
  <si>
    <t>Google Play Store publish | Push Notifications | Geolocalización GPS | Offline Sync</t>
  </si>
  <si>
    <t>Desarrollo nativo o híbrido de alta performance</t>
  </si>
  <si>
    <t>IOSIOS0062</t>
  </si>
  <si>
    <t>iOS Swift Native (Software)</t>
  </si>
  <si>
    <t>IOS0062</t>
  </si>
  <si>
    <t>Apple App Store publish | Biometrics authentication | Apple Pay integration | UI iOS Human Interface</t>
  </si>
  <si>
    <t>Experiencia premium para Apple App Store</t>
  </si>
  <si>
    <t>ANDANDR0063</t>
  </si>
  <si>
    <t>Android + iOS (Multi-plataforma) (Software)</t>
  </si>
  <si>
    <t>ANDR0063</t>
  </si>
  <si>
    <t>Single Codebase | Publicación en ambas tiendas | Backend Serverless | Analytics</t>
  </si>
  <si>
    <t>Flutter / React Native de alto rendimiento</t>
  </si>
  <si>
    <t>MENMENS0064</t>
  </si>
  <si>
    <t>Mensajería Urbana Q-Cargo (Transporte_Q_Cargo)</t>
  </si>
  <si>
    <t>MENS0064</t>
  </si>
  <si>
    <t>Entrega en menos de 2 horas | Seguimiento GPS en tiempo real | Firma digital de entrega</t>
  </si>
  <si>
    <t>Envío urgente de documentación o repuestos</t>
  </si>
  <si>
    <t>Q-CQCA0065</t>
  </si>
  <si>
    <t>Q-Cargo Van Local (Transporte_Q_Cargo)</t>
  </si>
  <si>
    <t>QCA0065</t>
  </si>
  <si>
    <t>Vehículo van dedicado | Capacidad hasta 800 kg | Conductor profesional | Carga asegurada</t>
  </si>
  <si>
    <t>Transporte de carga liviana urbana</t>
  </si>
  <si>
    <t>Q-CQCA0066</t>
  </si>
  <si>
    <t>Q-Cargo Van Metropolitana (Transporte_Q_Cargo)</t>
  </si>
  <si>
    <t>QCA0066</t>
  </si>
  <si>
    <t>Distancias ampliadas | Hasta 1.200 kg de carga | Logística programada | Monitoreo 24/7</t>
  </si>
  <si>
    <t>Servicio para zonas conurbanas y municipios cercanos</t>
  </si>
  <si>
    <t>APNAPNI0042</t>
  </si>
  <si>
    <t>APNI — Asistente Pedagógico y Normativo Inteligente (Planika)</t>
  </si>
  <si>
    <t>APNI0042</t>
  </si>
  <si>
    <t>Actualización normativa del MEN y Gobierno Nacional | Generación de informes pedagógicos alineados con DBA, EBC y SIEE | Consultoría pedagógica y jurídica especializada | Rastreo de leyes, decretos y circulares ministeriales | Análisis de impacto en gestión escolar | Variables contextuales: Área, Grado, Docente, Institución | Alertas de vigencia normativa | Enlaces oficiales de consulta (SUIN-Juriscol, Diario Oficial, DAPRE)</t>
  </si>
  <si>
    <t>Planika</t>
  </si>
  <si>
    <t>Consultor pedagógico, jurídico y normativo especializado en el sistema educativo colombiano.</t>
  </si>
  <si>
    <t>MOTMOTO0043</t>
  </si>
  <si>
    <t>Motor de Indicadores de Logro (Planika)</t>
  </si>
  <si>
    <t>MOTO0043</t>
  </si>
  <si>
    <t>Informes pedagógicos por estudiante o grupo | Matriz de 4 componentes: Fortalezas, Debilidades, Estrategias, Recomendaciones | Alineación con Derechos Básicos de Aprendizaje (DBA) | Alineación con Estándares Básicos de Competencias (EBC) | Alineación con Sistema Institucional de Evaluación (SIEE) | Adaptación por Área, Grado, Docente e Institución | Fundamentación en referentes de calidad del MEN | Exportación en formatos institucionales</t>
  </si>
  <si>
    <t>Genera reportes evaluativos respetando la matriz de cuatro componentes.</t>
  </si>
  <si>
    <t>ACTACTU0044</t>
  </si>
  <si>
    <t>Actualización Normativa MEN (Planika)</t>
  </si>
  <si>
    <t>ACTU0044</t>
  </si>
  <si>
    <t>Rastreo automático de normativa educativa | Filtrado por vigencia y pertinencia | Categorías: Leyes, Decretos, Circulares, Lineamientos curriculares | Formato de alerta normativa oficial | Impacto en gestión escolar | Enlaces de consulta oficial | Historial de cambios normativos | Notificaciones institucionales</t>
  </si>
  <si>
    <t>Módulo especializado en rastrear actualizaciones normativas del MEN y Gobierno Colombiano.</t>
  </si>
  <si>
    <t>AUDAUDI0045</t>
  </si>
  <si>
    <t>Auditoría Curricular y Cumplimiento (Planika)</t>
  </si>
  <si>
    <t>AUDI0045</t>
  </si>
  <si>
    <t>Verificación de alineación con normativa MEN | Análisis de cobertura curricular | Informe de cumplimiento normativo | Plan de mejoramiento institucional | Detección de brechas curriculares | Soporte para acreditaciones | Trazabilidad de evidencias | Dashboard de cumplimiento</t>
  </si>
  <si>
    <t>Verifica alineación curricular con normativa vigente, DBA, EBC y SIEE.</t>
  </si>
  <si>
    <t>GOBGOBI0046</t>
  </si>
  <si>
    <t>Gobierno del Conocimiento Institucional (Planika)</t>
  </si>
  <si>
    <t>GOBI0046</t>
  </si>
  <si>
    <t>Validación documental automática | Control de versiones y vigencia | Trazabilidad y auditoría curricular | Integración con sistemas académicos | Knowledge Graph institucional | Hybrid RAG educativo | Políticas de priorización de fuentes | Memoria institucional gobernada</t>
  </si>
  <si>
    <t>Administra, valida, prioriza y gobierna todo el conocimiento curricular institucional.</t>
  </si>
  <si>
    <t>PLAAPNI0074</t>
  </si>
  <si>
    <t>APNI0074</t>
  </si>
  <si>
    <t>Consultor pedagógico, jurídico y normativo especializado en el sistema educativo colombiano. Mantiene actualizada a la institución con cambios legislativos del MEN y Gobierno Nacional, y genera reportes pedagógicos alineados con DBA, EBC y SIEE.</t>
  </si>
  <si>
    <t>PLAMOTO0075</t>
  </si>
  <si>
    <t>MOTO0075</t>
  </si>
  <si>
    <t>Genera reportes evaluativos por curso, materia o estudiante respetando la matriz obligatoria de cuatro componentes: Fortalezas, Debilidades, Estrategias de Aula y Recomendaciones para Casa.</t>
  </si>
  <si>
    <t>PLAACTU0076</t>
  </si>
  <si>
    <t>ACTU0076</t>
  </si>
  <si>
    <t>Módulo especializado en rastrear, filtrar y resumir actualizaciones normativas del Ministerio de Educación Nacional y el Gobierno Colombiano.</t>
  </si>
  <si>
    <t>PLAAUDI0077</t>
  </si>
  <si>
    <t>AUDI0077</t>
  </si>
  <si>
    <t>Verifica alineación curricular con normativa vigente, DBA, EBC y SIEE. Genera informes de cumplimiento y planes de mejoramiento.</t>
  </si>
  <si>
    <t>PLAGOBI0078</t>
  </si>
  <si>
    <t>GOBI0078</t>
  </si>
  <si>
    <t>Administra, valida, prioriza y gobierna todo el conocimiento curricular institucional. Garantiza que la información utilizada por IA provenga de fuentes oficiales y validadas.</t>
  </si>
  <si>
    <t>ZENZENM0079</t>
  </si>
  <si>
    <t>ZenMap — Mapa Hiperlocal (ZennOn)</t>
  </si>
  <si>
    <t>ZENM0079</t>
  </si>
  <si>
    <t>Mapa interactivo con radio de alcance configurable | Búsqueda por categoría y distancia | Perfil de negocio con ubicación precisa | Integración con WhatsApp y redes sociales</t>
  </si>
  <si>
    <t>ZennOn</t>
  </si>
  <si>
    <t>Geolocalización GPS para conectar profesionales con clientes en su zona de influencia (800m - 10km).</t>
  </si>
  <si>
    <t>ZENZENP0080</t>
  </si>
  <si>
    <t>ZenPlanner — Planificador Personal (ZennOn)</t>
  </si>
  <si>
    <t>ZENP0080</t>
  </si>
  <si>
    <t>Gestión de tareas y proyectos | Calendario integrado | Recordatorios automáticos | Seguimiento de productividad | Exportación de informes</t>
  </si>
  <si>
    <t>Herramienta de gestión personal para emprendedores y freelancers. Organiza tareas, proyectos y citas.</t>
  </si>
  <si>
    <t>ZENZENT0081</t>
  </si>
  <si>
    <t>ZenTask — Gestión de Tareas (ZennOn)</t>
  </si>
  <si>
    <t>ZENT0081</t>
  </si>
  <si>
    <t>Tablero Kanban | Asignación de tareas | Estados de avance | Notificaciones en tiempo real | Integración con ZenPlanner</t>
  </si>
  <si>
    <t>Sistema de gestión de tareas para equipos pequeños y freelancers.</t>
  </si>
  <si>
    <t>ZENZENA0082</t>
  </si>
  <si>
    <t>ZenAI — Asistente de IA (ZennOn)</t>
  </si>
  <si>
    <t>ZENA0082</t>
  </si>
  <si>
    <t>Generación de contenido para redes sociales | Análisis de mercado local | Recomendaciones de negocio | Asistente de copywriting | Análisis de competencia</t>
  </si>
  <si>
    <t>IA asistida para emprendedores: generación de contenido, análisis de mercado y recomendaciones personalizadas.</t>
  </si>
  <si>
    <t>ZENZENC0083</t>
  </si>
  <si>
    <t>ZenCRM — CRM para Emprendedores (ZennOn)</t>
  </si>
  <si>
    <t>ZENC0083</t>
  </si>
  <si>
    <t>Gestión de contactos y clientes | Pipeline de ventas visual | Seguimiento de oportunidades | Recordatorios de seguimiento | Reportes de rendimiento comercial</t>
  </si>
  <si>
    <t>CRM ligero para emprendedores y pequeños negocios. Gestión de clientes, seguimiento de ventas y pipeline.</t>
  </si>
  <si>
    <t>ZENZENM0084</t>
  </si>
  <si>
    <t>ZenMarket — Marketplace de Productos Digitales (ZennOn)</t>
  </si>
  <si>
    <t>ZENM0084</t>
  </si>
  <si>
    <t>Tienda digital integrada | Gestión de productos digitales | Pasarela de pago integrada | Seguimiento de ventas | Perfil de vendedor</t>
  </si>
  <si>
    <t>Marketplace para vender productos digitales: cursos, templates, ebooks, presets y más.</t>
  </si>
  <si>
    <t>BFriends</t>
  </si>
  <si>
    <t>ExternalID</t>
  </si>
  <si>
    <t>IAIAS0025</t>
  </si>
  <si>
    <t>IAIAB0026</t>
  </si>
  <si>
    <t>IAIAE0027</t>
  </si>
  <si>
    <t>InternalReference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</si>
</sst>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4C7E7"/>
        <bgColor rgb="FFB4C7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3" fontId="3" fillId="5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pane ySplit="1" topLeftCell="A58" activePane="bottomLeft" state="frozen"/>
      <selection pane="bottomLeft" activeCell="D1" sqref="D1:D1048576"/>
    </sheetView>
  </sheetViews>
  <sheetFormatPr baseColWidth="10" defaultColWidth="9.140625" defaultRowHeight="15" x14ac:dyDescent="0.25"/>
  <cols>
    <col min="1" max="1" width="16.7109375" bestFit="1" customWidth="1"/>
    <col min="2" max="2" width="59.5703125" bestFit="1" customWidth="1"/>
    <col min="3" max="3" width="19.140625" bestFit="1" customWidth="1"/>
    <col min="4" max="4" width="24.7109375" bestFit="1" customWidth="1"/>
    <col min="5" max="5" width="14.140625" bestFit="1" customWidth="1"/>
    <col min="6" max="6" width="17" bestFit="1" customWidth="1"/>
    <col min="7" max="7" width="10.28515625" bestFit="1" customWidth="1"/>
    <col min="8" max="8" width="12.5703125" bestFit="1" customWidth="1"/>
    <col min="9" max="9" width="52" customWidth="1"/>
    <col min="10" max="10" width="21.28515625" bestFit="1" customWidth="1"/>
    <col min="11" max="11" width="68.7109375" customWidth="1"/>
    <col min="12" max="12" width="13.7109375" bestFit="1" customWidth="1"/>
    <col min="13" max="13" width="10" bestFit="1" customWidth="1"/>
  </cols>
  <sheetData>
    <row r="1" spans="1:13" ht="24.95" customHeight="1" x14ac:dyDescent="0.25">
      <c r="A1" s="3" t="s">
        <v>450</v>
      </c>
      <c r="B1" s="3" t="s">
        <v>1</v>
      </c>
      <c r="C1" s="3" t="s">
        <v>2</v>
      </c>
      <c r="D1" s="3" t="s">
        <v>454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50</v>
      </c>
      <c r="B2" s="2" t="str">
        <f t="shared" ref="B2:B8" si="0">I2</f>
        <v>Recordatorios de autocuidado</v>
      </c>
      <c r="C2" s="1" t="s">
        <v>15</v>
      </c>
      <c r="D2" s="1" t="s">
        <v>51</v>
      </c>
      <c r="E2" s="1"/>
      <c r="F2" s="4">
        <v>0</v>
      </c>
      <c r="G2" s="1"/>
      <c r="H2" s="1"/>
      <c r="I2" s="1" t="s">
        <v>52</v>
      </c>
      <c r="J2" s="1" t="s">
        <v>449</v>
      </c>
      <c r="K2" s="1" t="str">
        <f t="shared" ref="K2:K8" si="1">I2</f>
        <v>Recordatorios de autocuidado</v>
      </c>
      <c r="L2" s="1" t="s">
        <v>19</v>
      </c>
      <c r="M2" s="1"/>
    </row>
    <row r="3" spans="1:13" x14ac:dyDescent="0.25">
      <c r="A3" s="2" t="s">
        <v>53</v>
      </c>
      <c r="B3" s="2" t="str">
        <f t="shared" si="0"/>
        <v>Facturación electrónica</v>
      </c>
      <c r="C3" s="2" t="s">
        <v>15</v>
      </c>
      <c r="D3" s="2" t="s">
        <v>54</v>
      </c>
      <c r="E3" s="2"/>
      <c r="F3" s="5">
        <v>0</v>
      </c>
      <c r="G3" s="2"/>
      <c r="H3" s="2"/>
      <c r="I3" s="2" t="s">
        <v>55</v>
      </c>
      <c r="J3" s="1" t="s">
        <v>449</v>
      </c>
      <c r="K3" s="1" t="str">
        <f t="shared" si="1"/>
        <v>Facturación electrónica</v>
      </c>
      <c r="L3" s="2" t="s">
        <v>19</v>
      </c>
      <c r="M3" s="2"/>
    </row>
    <row r="4" spans="1:13" x14ac:dyDescent="0.25">
      <c r="A4" s="6" t="s">
        <v>56</v>
      </c>
      <c r="B4" s="2" t="str">
        <f t="shared" si="0"/>
        <v>Reserva en línea</v>
      </c>
      <c r="C4" s="6" t="s">
        <v>15</v>
      </c>
      <c r="D4" s="6" t="s">
        <v>57</v>
      </c>
      <c r="E4" s="6"/>
      <c r="F4" s="7">
        <v>0</v>
      </c>
      <c r="G4" s="6"/>
      <c r="H4" s="6"/>
      <c r="I4" s="6" t="s">
        <v>58</v>
      </c>
      <c r="J4" s="1" t="s">
        <v>449</v>
      </c>
      <c r="K4" s="1" t="str">
        <f t="shared" si="1"/>
        <v>Reserva en línea</v>
      </c>
      <c r="L4" s="6" t="s">
        <v>19</v>
      </c>
      <c r="M4" s="6"/>
    </row>
    <row r="5" spans="1:13" x14ac:dyDescent="0.25">
      <c r="A5" s="2" t="s">
        <v>59</v>
      </c>
      <c r="B5" s="2" t="str">
        <f t="shared" si="0"/>
        <v>Dashboard de bienestar institucional</v>
      </c>
      <c r="C5" s="2" t="s">
        <v>15</v>
      </c>
      <c r="D5" s="2" t="s">
        <v>60</v>
      </c>
      <c r="E5" s="2"/>
      <c r="F5" s="5">
        <v>0</v>
      </c>
      <c r="G5" s="2"/>
      <c r="H5" s="2"/>
      <c r="I5" s="2" t="s">
        <v>61</v>
      </c>
      <c r="J5" s="1" t="s">
        <v>449</v>
      </c>
      <c r="K5" s="1" t="str">
        <f t="shared" si="1"/>
        <v>Dashboard de bienestar institucional</v>
      </c>
      <c r="L5" s="2" t="s">
        <v>19</v>
      </c>
      <c r="M5" s="2"/>
    </row>
    <row r="6" spans="1:13" x14ac:dyDescent="0.25">
      <c r="A6" s="6" t="s">
        <v>62</v>
      </c>
      <c r="B6" s="2" t="str">
        <f t="shared" si="0"/>
        <v>Dashboard de bienestar</v>
      </c>
      <c r="C6" s="6" t="s">
        <v>15</v>
      </c>
      <c r="D6" s="6" t="s">
        <v>63</v>
      </c>
      <c r="E6" s="6"/>
      <c r="F6" s="7">
        <v>0</v>
      </c>
      <c r="G6" s="6"/>
      <c r="H6" s="6"/>
      <c r="I6" s="6" t="s">
        <v>64</v>
      </c>
      <c r="J6" s="1" t="s">
        <v>449</v>
      </c>
      <c r="K6" s="1" t="str">
        <f t="shared" si="1"/>
        <v>Dashboard de bienestar</v>
      </c>
      <c r="L6" s="6" t="s">
        <v>19</v>
      </c>
      <c r="M6" s="6"/>
    </row>
    <row r="7" spans="1:13" x14ac:dyDescent="0.25">
      <c r="A7" s="2" t="s">
        <v>65</v>
      </c>
      <c r="B7" s="2" t="str">
        <f t="shared" si="0"/>
        <v>Soporte prioritario</v>
      </c>
      <c r="C7" s="2" t="s">
        <v>15</v>
      </c>
      <c r="D7" s="2" t="s">
        <v>66</v>
      </c>
      <c r="E7" s="2"/>
      <c r="F7" s="5">
        <v>0</v>
      </c>
      <c r="G7" s="2"/>
      <c r="H7" s="2"/>
      <c r="I7" s="2" t="s">
        <v>67</v>
      </c>
      <c r="J7" s="1" t="s">
        <v>449</v>
      </c>
      <c r="K7" s="1" t="str">
        <f t="shared" si="1"/>
        <v>Soporte prioritario</v>
      </c>
      <c r="L7" s="2" t="s">
        <v>19</v>
      </c>
      <c r="M7" s="2"/>
    </row>
    <row r="8" spans="1:13" x14ac:dyDescent="0.25">
      <c r="A8" s="6" t="s">
        <v>68</v>
      </c>
      <c r="B8" s="2" t="str">
        <f t="shared" si="0"/>
        <v>Asesor dedicado</v>
      </c>
      <c r="C8" s="6" t="s">
        <v>15</v>
      </c>
      <c r="D8" s="6" t="s">
        <v>69</v>
      </c>
      <c r="E8" s="6"/>
      <c r="F8" s="7">
        <v>0</v>
      </c>
      <c r="G8" s="6"/>
      <c r="H8" s="6"/>
      <c r="I8" s="6" t="s">
        <v>70</v>
      </c>
      <c r="J8" s="1" t="s">
        <v>449</v>
      </c>
      <c r="K8" s="1" t="str">
        <f t="shared" si="1"/>
        <v>Asesor dedicado</v>
      </c>
      <c r="L8" s="6" t="s">
        <v>19</v>
      </c>
      <c r="M8" s="6"/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/>
      <c r="F9" s="4">
        <v>0</v>
      </c>
      <c r="G9" s="1"/>
      <c r="H9" s="1"/>
      <c r="I9" s="1" t="s">
        <v>17</v>
      </c>
      <c r="J9" s="1" t="s">
        <v>449</v>
      </c>
      <c r="K9" s="1" t="s">
        <v>18</v>
      </c>
      <c r="L9" s="1" t="s">
        <v>19</v>
      </c>
      <c r="M9" s="1"/>
    </row>
    <row r="10" spans="1:13" x14ac:dyDescent="0.25">
      <c r="A10" s="1" t="s">
        <v>25</v>
      </c>
      <c r="B10" s="1" t="s">
        <v>26</v>
      </c>
      <c r="C10" s="1" t="s">
        <v>15</v>
      </c>
      <c r="D10" s="1" t="s">
        <v>27</v>
      </c>
      <c r="E10" s="1"/>
      <c r="F10" s="4">
        <v>0</v>
      </c>
      <c r="G10" s="1"/>
      <c r="H10" s="1"/>
      <c r="I10" s="1" t="s">
        <v>28</v>
      </c>
      <c r="J10" s="1" t="s">
        <v>449</v>
      </c>
      <c r="K10" s="1" t="s">
        <v>29</v>
      </c>
      <c r="L10" s="1" t="s">
        <v>19</v>
      </c>
      <c r="M10" s="1"/>
    </row>
    <row r="11" spans="1:13" x14ac:dyDescent="0.25">
      <c r="A11" s="1" t="s">
        <v>45</v>
      </c>
      <c r="B11" s="1" t="s">
        <v>46</v>
      </c>
      <c r="C11" s="1" t="s">
        <v>15</v>
      </c>
      <c r="D11" s="1" t="s">
        <v>47</v>
      </c>
      <c r="E11" s="1"/>
      <c r="F11" s="4">
        <v>2500</v>
      </c>
      <c r="G11" s="1"/>
      <c r="H11" s="1"/>
      <c r="I11" s="1" t="s">
        <v>48</v>
      </c>
      <c r="J11" s="1" t="s">
        <v>449</v>
      </c>
      <c r="K11" s="1" t="s">
        <v>49</v>
      </c>
      <c r="L11" s="1" t="s">
        <v>19</v>
      </c>
      <c r="M11" s="1"/>
    </row>
    <row r="12" spans="1:13" x14ac:dyDescent="0.25">
      <c r="A12" s="1" t="s">
        <v>40</v>
      </c>
      <c r="B12" s="1" t="s">
        <v>41</v>
      </c>
      <c r="C12" s="1" t="s">
        <v>15</v>
      </c>
      <c r="D12" s="1" t="s">
        <v>42</v>
      </c>
      <c r="E12" s="1"/>
      <c r="F12" s="4">
        <v>3000</v>
      </c>
      <c r="G12" s="1"/>
      <c r="H12" s="1"/>
      <c r="I12" s="1" t="s">
        <v>43</v>
      </c>
      <c r="J12" s="1" t="s">
        <v>449</v>
      </c>
      <c r="K12" s="1" t="s">
        <v>44</v>
      </c>
      <c r="L12" s="1" t="s">
        <v>19</v>
      </c>
      <c r="M12" s="1"/>
    </row>
    <row r="13" spans="1:13" x14ac:dyDescent="0.25">
      <c r="A13" s="1" t="s">
        <v>30</v>
      </c>
      <c r="B13" s="1" t="s">
        <v>31</v>
      </c>
      <c r="C13" s="1" t="s">
        <v>15</v>
      </c>
      <c r="D13" s="1" t="s">
        <v>32</v>
      </c>
      <c r="E13" s="1"/>
      <c r="F13" s="4">
        <v>3500</v>
      </c>
      <c r="G13" s="1"/>
      <c r="H13" s="1"/>
      <c r="I13" s="1" t="s">
        <v>33</v>
      </c>
      <c r="J13" s="1" t="s">
        <v>449</v>
      </c>
      <c r="K13" s="1" t="s">
        <v>34</v>
      </c>
      <c r="L13" s="1" t="s">
        <v>19</v>
      </c>
      <c r="M13" s="1"/>
    </row>
    <row r="14" spans="1:13" x14ac:dyDescent="0.25">
      <c r="A14" s="1" t="s">
        <v>35</v>
      </c>
      <c r="B14" s="1" t="s">
        <v>36</v>
      </c>
      <c r="C14" s="1" t="s">
        <v>15</v>
      </c>
      <c r="D14" s="1" t="s">
        <v>37</v>
      </c>
      <c r="E14" s="1"/>
      <c r="F14" s="4">
        <v>3500</v>
      </c>
      <c r="G14" s="1"/>
      <c r="H14" s="1"/>
      <c r="I14" s="1" t="s">
        <v>38</v>
      </c>
      <c r="J14" s="1" t="s">
        <v>449</v>
      </c>
      <c r="K14" s="1" t="s">
        <v>39</v>
      </c>
      <c r="L14" s="1" t="s">
        <v>19</v>
      </c>
      <c r="M14" s="1"/>
    </row>
    <row r="15" spans="1:13" x14ac:dyDescent="0.25">
      <c r="A15" s="1" t="s">
        <v>20</v>
      </c>
      <c r="B15" s="1" t="s">
        <v>21</v>
      </c>
      <c r="C15" s="1" t="s">
        <v>15</v>
      </c>
      <c r="D15" s="1" t="s">
        <v>22</v>
      </c>
      <c r="E15" s="1"/>
      <c r="F15" s="4">
        <v>80000</v>
      </c>
      <c r="G15" s="1"/>
      <c r="H15" s="1"/>
      <c r="I15" s="1" t="s">
        <v>23</v>
      </c>
      <c r="J15" s="1" t="s">
        <v>449</v>
      </c>
      <c r="K15" s="1" t="s">
        <v>24</v>
      </c>
      <c r="L15" s="1" t="s">
        <v>19</v>
      </c>
      <c r="M15" s="1"/>
    </row>
    <row r="16" spans="1:13" x14ac:dyDescent="0.25">
      <c r="A16" s="1" t="s">
        <v>217</v>
      </c>
      <c r="B16" s="1" t="s">
        <v>218</v>
      </c>
      <c r="C16" s="1" t="s">
        <v>15</v>
      </c>
      <c r="D16" s="1" t="s">
        <v>219</v>
      </c>
      <c r="E16" s="1"/>
      <c r="F16" s="4">
        <v>0</v>
      </c>
      <c r="G16" s="1"/>
      <c r="H16" s="1"/>
      <c r="I16" s="1" t="s">
        <v>220</v>
      </c>
      <c r="J16" s="1" t="s">
        <v>75</v>
      </c>
      <c r="K16" s="1" t="s">
        <v>221</v>
      </c>
      <c r="L16" s="1" t="s">
        <v>19</v>
      </c>
      <c r="M16" s="1"/>
    </row>
    <row r="17" spans="1:13" x14ac:dyDescent="0.25">
      <c r="A17" s="1" t="s">
        <v>362</v>
      </c>
      <c r="B17" s="1" t="s">
        <v>363</v>
      </c>
      <c r="C17" s="1" t="s">
        <v>15</v>
      </c>
      <c r="D17" s="1" t="s">
        <v>364</v>
      </c>
      <c r="E17" s="1"/>
      <c r="F17" s="4">
        <v>25000</v>
      </c>
      <c r="G17" s="1"/>
      <c r="H17" s="1"/>
      <c r="I17" s="1" t="s">
        <v>365</v>
      </c>
      <c r="J17" s="1" t="s">
        <v>75</v>
      </c>
      <c r="K17" s="1" t="s">
        <v>366</v>
      </c>
      <c r="L17" s="1" t="s">
        <v>19</v>
      </c>
      <c r="M17" s="1"/>
    </row>
    <row r="18" spans="1:13" x14ac:dyDescent="0.25">
      <c r="A18" s="1" t="s">
        <v>317</v>
      </c>
      <c r="B18" s="1" t="s">
        <v>318</v>
      </c>
      <c r="C18" s="1" t="s">
        <v>15</v>
      </c>
      <c r="D18" s="1" t="s">
        <v>319</v>
      </c>
      <c r="E18" s="1"/>
      <c r="F18" s="4">
        <v>35000</v>
      </c>
      <c r="G18" s="1"/>
      <c r="H18" s="1"/>
      <c r="I18" s="1" t="s">
        <v>320</v>
      </c>
      <c r="J18" s="1" t="s">
        <v>75</v>
      </c>
      <c r="K18" s="1" t="s">
        <v>321</v>
      </c>
      <c r="L18" s="1" t="s">
        <v>19</v>
      </c>
      <c r="M18" s="1"/>
    </row>
    <row r="19" spans="1:13" x14ac:dyDescent="0.25">
      <c r="A19" s="1" t="s">
        <v>167</v>
      </c>
      <c r="B19" s="1" t="s">
        <v>168</v>
      </c>
      <c r="C19" s="1" t="s">
        <v>15</v>
      </c>
      <c r="D19" s="1" t="s">
        <v>169</v>
      </c>
      <c r="E19" s="1"/>
      <c r="F19" s="4">
        <v>50000</v>
      </c>
      <c r="G19" s="1"/>
      <c r="H19" s="1"/>
      <c r="I19" s="1" t="s">
        <v>170</v>
      </c>
      <c r="J19" s="1" t="s">
        <v>75</v>
      </c>
      <c r="K19" s="1" t="s">
        <v>171</v>
      </c>
      <c r="L19" s="1" t="s">
        <v>19</v>
      </c>
      <c r="M19" s="1"/>
    </row>
    <row r="20" spans="1:13" x14ac:dyDescent="0.25">
      <c r="A20" s="1" t="s">
        <v>222</v>
      </c>
      <c r="B20" s="1" t="s">
        <v>223</v>
      </c>
      <c r="C20" s="1" t="s">
        <v>15</v>
      </c>
      <c r="D20" s="1" t="s">
        <v>224</v>
      </c>
      <c r="E20" s="1"/>
      <c r="F20" s="4">
        <v>59900</v>
      </c>
      <c r="G20" s="1"/>
      <c r="H20" s="1"/>
      <c r="I20" s="1" t="s">
        <v>225</v>
      </c>
      <c r="J20" s="1" t="s">
        <v>75</v>
      </c>
      <c r="K20" s="1" t="s">
        <v>226</v>
      </c>
      <c r="L20" s="1" t="s">
        <v>19</v>
      </c>
      <c r="M20" s="1"/>
    </row>
    <row r="21" spans="1:13" x14ac:dyDescent="0.25">
      <c r="A21" s="1" t="s">
        <v>157</v>
      </c>
      <c r="B21" s="1" t="s">
        <v>158</v>
      </c>
      <c r="C21" s="1" t="s">
        <v>15</v>
      </c>
      <c r="D21" s="1" t="s">
        <v>159</v>
      </c>
      <c r="E21" s="1"/>
      <c r="F21" s="4">
        <v>80000</v>
      </c>
      <c r="G21" s="1"/>
      <c r="H21" s="1"/>
      <c r="I21" s="1" t="s">
        <v>160</v>
      </c>
      <c r="J21" s="1" t="s">
        <v>75</v>
      </c>
      <c r="K21" s="1" t="s">
        <v>161</v>
      </c>
      <c r="L21" s="1" t="s">
        <v>19</v>
      </c>
      <c r="M21" s="1"/>
    </row>
    <row r="22" spans="1:13" x14ac:dyDescent="0.25">
      <c r="A22" s="1" t="s">
        <v>172</v>
      </c>
      <c r="B22" s="1" t="s">
        <v>173</v>
      </c>
      <c r="C22" s="1" t="s">
        <v>15</v>
      </c>
      <c r="D22" s="1" t="s">
        <v>174</v>
      </c>
      <c r="E22" s="1"/>
      <c r="F22" s="4">
        <v>90000</v>
      </c>
      <c r="G22" s="1"/>
      <c r="H22" s="1"/>
      <c r="I22" s="1" t="s">
        <v>175</v>
      </c>
      <c r="J22" s="1" t="s">
        <v>75</v>
      </c>
      <c r="K22" s="1" t="s">
        <v>176</v>
      </c>
      <c r="L22" s="1" t="s">
        <v>19</v>
      </c>
      <c r="M22" s="1"/>
    </row>
    <row r="23" spans="1:13" x14ac:dyDescent="0.25">
      <c r="A23" s="1" t="s">
        <v>147</v>
      </c>
      <c r="B23" s="1" t="s">
        <v>148</v>
      </c>
      <c r="C23" s="1" t="s">
        <v>15</v>
      </c>
      <c r="D23" s="1" t="s">
        <v>149</v>
      </c>
      <c r="E23" s="1"/>
      <c r="F23" s="4">
        <v>120000</v>
      </c>
      <c r="G23" s="1"/>
      <c r="H23" s="1"/>
      <c r="I23" s="1" t="s">
        <v>150</v>
      </c>
      <c r="J23" s="1" t="s">
        <v>75</v>
      </c>
      <c r="K23" s="1" t="s">
        <v>151</v>
      </c>
      <c r="L23" s="1" t="s">
        <v>19</v>
      </c>
      <c r="M23" s="1"/>
    </row>
    <row r="24" spans="1:13" x14ac:dyDescent="0.25">
      <c r="A24" s="1" t="s">
        <v>367</v>
      </c>
      <c r="B24" s="1" t="s">
        <v>368</v>
      </c>
      <c r="C24" s="1" t="s">
        <v>15</v>
      </c>
      <c r="D24" s="1" t="s">
        <v>369</v>
      </c>
      <c r="E24" s="1"/>
      <c r="F24" s="4">
        <v>120000</v>
      </c>
      <c r="G24" s="1"/>
      <c r="H24" s="1"/>
      <c r="I24" s="1" t="s">
        <v>370</v>
      </c>
      <c r="J24" s="1" t="s">
        <v>75</v>
      </c>
      <c r="K24" s="1" t="s">
        <v>371</v>
      </c>
      <c r="L24" s="1" t="s">
        <v>19</v>
      </c>
      <c r="M24" s="1"/>
    </row>
    <row r="25" spans="1:13" x14ac:dyDescent="0.25">
      <c r="A25" s="1" t="s">
        <v>227</v>
      </c>
      <c r="B25" s="1" t="s">
        <v>228</v>
      </c>
      <c r="C25" s="1" t="s">
        <v>15</v>
      </c>
      <c r="D25" s="1" t="s">
        <v>229</v>
      </c>
      <c r="E25" s="1"/>
      <c r="F25" s="4">
        <v>129900</v>
      </c>
      <c r="G25" s="1"/>
      <c r="H25" s="1"/>
      <c r="I25" s="1" t="s">
        <v>230</v>
      </c>
      <c r="J25" s="1" t="s">
        <v>75</v>
      </c>
      <c r="K25" s="1" t="s">
        <v>231</v>
      </c>
      <c r="L25" s="1" t="s">
        <v>19</v>
      </c>
      <c r="M25" s="1"/>
    </row>
    <row r="26" spans="1:13" x14ac:dyDescent="0.25">
      <c r="A26" s="1" t="s">
        <v>112</v>
      </c>
      <c r="B26" s="1" t="s">
        <v>113</v>
      </c>
      <c r="C26" s="1" t="s">
        <v>15</v>
      </c>
      <c r="D26" s="1" t="s">
        <v>114</v>
      </c>
      <c r="E26" s="1"/>
      <c r="F26" s="4">
        <v>180000</v>
      </c>
      <c r="G26" s="1"/>
      <c r="H26" s="1"/>
      <c r="I26" s="1" t="s">
        <v>115</v>
      </c>
      <c r="J26" s="1" t="s">
        <v>75</v>
      </c>
      <c r="K26" s="1" t="s">
        <v>116</v>
      </c>
      <c r="L26" s="1" t="s">
        <v>19</v>
      </c>
      <c r="M26" s="1"/>
    </row>
    <row r="27" spans="1:13" x14ac:dyDescent="0.25">
      <c r="A27" s="1" t="s">
        <v>162</v>
      </c>
      <c r="B27" s="1" t="s">
        <v>163</v>
      </c>
      <c r="C27" s="1" t="s">
        <v>15</v>
      </c>
      <c r="D27" s="1" t="s">
        <v>164</v>
      </c>
      <c r="E27" s="1"/>
      <c r="F27" s="4">
        <v>180000</v>
      </c>
      <c r="G27" s="1"/>
      <c r="H27" s="1"/>
      <c r="I27" s="1" t="s">
        <v>165</v>
      </c>
      <c r="J27" s="1" t="s">
        <v>75</v>
      </c>
      <c r="K27" s="1" t="s">
        <v>166</v>
      </c>
      <c r="L27" s="1" t="s">
        <v>19</v>
      </c>
      <c r="M27" s="1"/>
    </row>
    <row r="28" spans="1:13" x14ac:dyDescent="0.25">
      <c r="A28" s="1" t="s">
        <v>177</v>
      </c>
      <c r="B28" s="1" t="s">
        <v>178</v>
      </c>
      <c r="C28" s="1" t="s">
        <v>15</v>
      </c>
      <c r="D28" s="1" t="s">
        <v>179</v>
      </c>
      <c r="E28" s="1"/>
      <c r="F28" s="4">
        <v>180000</v>
      </c>
      <c r="G28" s="1"/>
      <c r="H28" s="1"/>
      <c r="I28" s="1" t="s">
        <v>180</v>
      </c>
      <c r="J28" s="1" t="s">
        <v>75</v>
      </c>
      <c r="K28" s="1" t="s">
        <v>181</v>
      </c>
      <c r="L28" s="1" t="s">
        <v>19</v>
      </c>
      <c r="M28" s="1"/>
    </row>
    <row r="29" spans="1:13" x14ac:dyDescent="0.25">
      <c r="A29" s="1" t="s">
        <v>302</v>
      </c>
      <c r="B29" s="1" t="s">
        <v>303</v>
      </c>
      <c r="C29" s="1" t="s">
        <v>15</v>
      </c>
      <c r="D29" s="1" t="s">
        <v>304</v>
      </c>
      <c r="E29" s="1"/>
      <c r="F29" s="4">
        <v>180000</v>
      </c>
      <c r="G29" s="1"/>
      <c r="H29" s="1"/>
      <c r="I29" s="1" t="s">
        <v>305</v>
      </c>
      <c r="J29" s="1" t="s">
        <v>75</v>
      </c>
      <c r="K29" s="1" t="s">
        <v>306</v>
      </c>
      <c r="L29" s="1" t="s">
        <v>19</v>
      </c>
      <c r="M29" s="1"/>
    </row>
    <row r="30" spans="1:13" x14ac:dyDescent="0.25">
      <c r="A30" s="1" t="s">
        <v>372</v>
      </c>
      <c r="B30" s="1" t="s">
        <v>373</v>
      </c>
      <c r="C30" s="1" t="s">
        <v>15</v>
      </c>
      <c r="D30" s="1" t="s">
        <v>374</v>
      </c>
      <c r="E30" s="1"/>
      <c r="F30" s="4">
        <v>180000</v>
      </c>
      <c r="G30" s="1"/>
      <c r="H30" s="1"/>
      <c r="I30" s="1" t="s">
        <v>375</v>
      </c>
      <c r="J30" s="1" t="s">
        <v>75</v>
      </c>
      <c r="K30" s="1" t="s">
        <v>376</v>
      </c>
      <c r="L30" s="1" t="s">
        <v>19</v>
      </c>
      <c r="M30" s="1"/>
    </row>
    <row r="31" spans="1:13" x14ac:dyDescent="0.25">
      <c r="A31" s="1" t="s">
        <v>232</v>
      </c>
      <c r="B31" s="1" t="s">
        <v>233</v>
      </c>
      <c r="C31" s="1" t="s">
        <v>15</v>
      </c>
      <c r="D31" s="1" t="s">
        <v>234</v>
      </c>
      <c r="E31" s="1"/>
      <c r="F31" s="4">
        <v>249900</v>
      </c>
      <c r="G31" s="1"/>
      <c r="H31" s="1"/>
      <c r="I31" s="1" t="s">
        <v>235</v>
      </c>
      <c r="J31" s="1" t="s">
        <v>75</v>
      </c>
      <c r="K31" s="1" t="s">
        <v>236</v>
      </c>
      <c r="L31" s="1" t="s">
        <v>19</v>
      </c>
      <c r="M31" s="1"/>
    </row>
    <row r="32" spans="1:13" x14ac:dyDescent="0.25">
      <c r="A32" s="1" t="s">
        <v>182</v>
      </c>
      <c r="B32" s="1" t="s">
        <v>183</v>
      </c>
      <c r="C32" s="1" t="s">
        <v>15</v>
      </c>
      <c r="D32" s="1" t="s">
        <v>184</v>
      </c>
      <c r="E32" s="1"/>
      <c r="F32" s="4">
        <v>350000</v>
      </c>
      <c r="G32" s="1"/>
      <c r="H32" s="1"/>
      <c r="I32" s="1" t="s">
        <v>185</v>
      </c>
      <c r="J32" s="1" t="s">
        <v>75</v>
      </c>
      <c r="K32" s="1" t="s">
        <v>186</v>
      </c>
      <c r="L32" s="1" t="s">
        <v>19</v>
      </c>
      <c r="M32" s="1"/>
    </row>
    <row r="33" spans="1:13" x14ac:dyDescent="0.25">
      <c r="A33" s="1" t="s">
        <v>152</v>
      </c>
      <c r="B33" s="1" t="s">
        <v>153</v>
      </c>
      <c r="C33" s="1" t="s">
        <v>15</v>
      </c>
      <c r="D33" s="1" t="s">
        <v>154</v>
      </c>
      <c r="E33" s="1"/>
      <c r="F33" s="4">
        <v>450000</v>
      </c>
      <c r="G33" s="1"/>
      <c r="H33" s="1"/>
      <c r="I33" s="1" t="s">
        <v>155</v>
      </c>
      <c r="J33" s="1" t="s">
        <v>75</v>
      </c>
      <c r="K33" s="1" t="s">
        <v>156</v>
      </c>
      <c r="L33" s="1" t="s">
        <v>19</v>
      </c>
      <c r="M33" s="1"/>
    </row>
    <row r="34" spans="1:13" x14ac:dyDescent="0.25">
      <c r="A34" s="1" t="s">
        <v>252</v>
      </c>
      <c r="B34" s="1" t="s">
        <v>253</v>
      </c>
      <c r="C34" s="1" t="s">
        <v>15</v>
      </c>
      <c r="D34" s="1" t="s">
        <v>254</v>
      </c>
      <c r="E34" s="1"/>
      <c r="F34" s="4">
        <v>500000</v>
      </c>
      <c r="G34" s="1"/>
      <c r="H34" s="1"/>
      <c r="I34" s="1" t="s">
        <v>255</v>
      </c>
      <c r="J34" s="1" t="s">
        <v>75</v>
      </c>
      <c r="K34" s="1" t="s">
        <v>256</v>
      </c>
      <c r="L34" s="1" t="s">
        <v>19</v>
      </c>
      <c r="M34" s="1"/>
    </row>
    <row r="35" spans="1:13" x14ac:dyDescent="0.25">
      <c r="A35" s="1" t="s">
        <v>122</v>
      </c>
      <c r="B35" s="1" t="s">
        <v>123</v>
      </c>
      <c r="C35" s="1" t="s">
        <v>15</v>
      </c>
      <c r="D35" s="1" t="s">
        <v>124</v>
      </c>
      <c r="E35" s="1"/>
      <c r="F35" s="4">
        <v>600000</v>
      </c>
      <c r="G35" s="1"/>
      <c r="H35" s="1"/>
      <c r="I35" s="1" t="s">
        <v>125</v>
      </c>
      <c r="J35" s="1" t="s">
        <v>75</v>
      </c>
      <c r="K35" s="1" t="s">
        <v>126</v>
      </c>
      <c r="L35" s="1" t="s">
        <v>19</v>
      </c>
      <c r="M35" s="1"/>
    </row>
    <row r="36" spans="1:13" x14ac:dyDescent="0.25">
      <c r="A36" s="1" t="s">
        <v>312</v>
      </c>
      <c r="B36" s="1" t="s">
        <v>313</v>
      </c>
      <c r="C36" s="1" t="s">
        <v>15</v>
      </c>
      <c r="D36" s="1" t="s">
        <v>314</v>
      </c>
      <c r="E36" s="1"/>
      <c r="F36" s="4">
        <v>650000</v>
      </c>
      <c r="G36" s="1"/>
      <c r="H36" s="1"/>
      <c r="I36" s="1" t="s">
        <v>315</v>
      </c>
      <c r="J36" s="1" t="s">
        <v>75</v>
      </c>
      <c r="K36" s="1" t="s">
        <v>316</v>
      </c>
      <c r="L36" s="1" t="s">
        <v>19</v>
      </c>
      <c r="M36" s="1"/>
    </row>
    <row r="37" spans="1:13" x14ac:dyDescent="0.25">
      <c r="A37" s="1" t="s">
        <v>257</v>
      </c>
      <c r="B37" s="1" t="s">
        <v>258</v>
      </c>
      <c r="C37" s="1" t="s">
        <v>15</v>
      </c>
      <c r="D37" s="1" t="s">
        <v>259</v>
      </c>
      <c r="E37" s="1"/>
      <c r="F37" s="4">
        <v>800000</v>
      </c>
      <c r="G37" s="1"/>
      <c r="H37" s="1"/>
      <c r="I37" s="1" t="s">
        <v>260</v>
      </c>
      <c r="J37" s="1" t="s">
        <v>75</v>
      </c>
      <c r="K37" s="1" t="s">
        <v>261</v>
      </c>
      <c r="L37" s="1" t="s">
        <v>19</v>
      </c>
      <c r="M37" s="1"/>
    </row>
    <row r="38" spans="1:13" x14ac:dyDescent="0.25">
      <c r="A38" s="1" t="s">
        <v>207</v>
      </c>
      <c r="B38" s="1" t="s">
        <v>208</v>
      </c>
      <c r="C38" s="1" t="s">
        <v>15</v>
      </c>
      <c r="D38" s="1" t="s">
        <v>209</v>
      </c>
      <c r="E38" s="1"/>
      <c r="F38" s="4">
        <v>850000</v>
      </c>
      <c r="G38" s="1"/>
      <c r="H38" s="1"/>
      <c r="I38" s="1" t="s">
        <v>210</v>
      </c>
      <c r="J38" s="1" t="s">
        <v>75</v>
      </c>
      <c r="K38" s="1" t="s">
        <v>211</v>
      </c>
      <c r="L38" s="1" t="s">
        <v>19</v>
      </c>
      <c r="M38" s="1"/>
    </row>
    <row r="39" spans="1:13" x14ac:dyDescent="0.25">
      <c r="A39" s="1" t="s">
        <v>277</v>
      </c>
      <c r="B39" s="1" t="s">
        <v>278</v>
      </c>
      <c r="C39" s="1" t="s">
        <v>15</v>
      </c>
      <c r="D39" s="1" t="s">
        <v>279</v>
      </c>
      <c r="E39" s="1"/>
      <c r="F39" s="4">
        <v>850000</v>
      </c>
      <c r="G39" s="1"/>
      <c r="H39" s="1"/>
      <c r="I39" s="1" t="s">
        <v>280</v>
      </c>
      <c r="J39" s="1" t="s">
        <v>75</v>
      </c>
      <c r="K39" s="1" t="s">
        <v>281</v>
      </c>
      <c r="L39" s="1" t="s">
        <v>19</v>
      </c>
      <c r="M39" s="1"/>
    </row>
    <row r="40" spans="1:13" x14ac:dyDescent="0.25">
      <c r="A40" s="1" t="s">
        <v>187</v>
      </c>
      <c r="B40" s="1" t="s">
        <v>188</v>
      </c>
      <c r="C40" s="1" t="s">
        <v>15</v>
      </c>
      <c r="D40" s="1" t="s">
        <v>189</v>
      </c>
      <c r="E40" s="1"/>
      <c r="F40" s="4">
        <v>950000</v>
      </c>
      <c r="G40" s="1"/>
      <c r="H40" s="1"/>
      <c r="I40" s="1" t="s">
        <v>190</v>
      </c>
      <c r="J40" s="1" t="s">
        <v>75</v>
      </c>
      <c r="K40" s="1" t="s">
        <v>191</v>
      </c>
      <c r="L40" s="1" t="s">
        <v>19</v>
      </c>
      <c r="M40" s="1"/>
    </row>
    <row r="41" spans="1:13" x14ac:dyDescent="0.25">
      <c r="A41" s="1" t="s">
        <v>307</v>
      </c>
      <c r="B41" s="1" t="s">
        <v>308</v>
      </c>
      <c r="C41" s="1" t="s">
        <v>15</v>
      </c>
      <c r="D41" s="1" t="s">
        <v>309</v>
      </c>
      <c r="E41" s="1"/>
      <c r="F41" s="4">
        <v>950000</v>
      </c>
      <c r="G41" s="1"/>
      <c r="H41" s="1"/>
      <c r="I41" s="1" t="s">
        <v>310</v>
      </c>
      <c r="J41" s="1" t="s">
        <v>75</v>
      </c>
      <c r="K41" s="1" t="s">
        <v>311</v>
      </c>
      <c r="L41" s="1" t="s">
        <v>19</v>
      </c>
      <c r="M41" s="1"/>
    </row>
    <row r="42" spans="1:13" x14ac:dyDescent="0.25">
      <c r="A42" s="1" t="s">
        <v>71</v>
      </c>
      <c r="B42" s="1" t="s">
        <v>72</v>
      </c>
      <c r="C42" s="1" t="s">
        <v>15</v>
      </c>
      <c r="D42" s="1" t="s">
        <v>73</v>
      </c>
      <c r="E42" s="1"/>
      <c r="F42" s="4">
        <v>1500000</v>
      </c>
      <c r="G42" s="1"/>
      <c r="H42" s="1"/>
      <c r="I42" s="1" t="s">
        <v>74</v>
      </c>
      <c r="J42" s="1" t="s">
        <v>75</v>
      </c>
      <c r="K42" s="1" t="s">
        <v>76</v>
      </c>
      <c r="L42" s="1" t="s">
        <v>19</v>
      </c>
      <c r="M42" s="1"/>
    </row>
    <row r="43" spans="1:13" x14ac:dyDescent="0.25">
      <c r="A43" s="1" t="s">
        <v>132</v>
      </c>
      <c r="B43" s="1" t="s">
        <v>133</v>
      </c>
      <c r="C43" s="1" t="s">
        <v>15</v>
      </c>
      <c r="D43" s="1" t="s">
        <v>134</v>
      </c>
      <c r="E43" s="1"/>
      <c r="F43" s="4">
        <v>1500000</v>
      </c>
      <c r="G43" s="1"/>
      <c r="H43" s="1"/>
      <c r="I43" s="1" t="s">
        <v>135</v>
      </c>
      <c r="J43" s="1" t="s">
        <v>75</v>
      </c>
      <c r="K43" s="1" t="s">
        <v>136</v>
      </c>
      <c r="L43" s="1" t="s">
        <v>19</v>
      </c>
      <c r="M43" s="1"/>
    </row>
    <row r="44" spans="1:13" x14ac:dyDescent="0.25">
      <c r="A44" s="1" t="s">
        <v>262</v>
      </c>
      <c r="B44" s="1" t="s">
        <v>263</v>
      </c>
      <c r="C44" s="1" t="s">
        <v>15</v>
      </c>
      <c r="D44" s="1" t="s">
        <v>264</v>
      </c>
      <c r="E44" s="1"/>
      <c r="F44" s="4">
        <v>1500000</v>
      </c>
      <c r="G44" s="1"/>
      <c r="H44" s="1"/>
      <c r="I44" s="1" t="s">
        <v>265</v>
      </c>
      <c r="J44" s="1" t="s">
        <v>75</v>
      </c>
      <c r="K44" s="1" t="s">
        <v>266</v>
      </c>
      <c r="L44" s="1" t="s">
        <v>19</v>
      </c>
      <c r="M44" s="1"/>
    </row>
    <row r="45" spans="1:13" x14ac:dyDescent="0.25">
      <c r="A45" s="1" t="s">
        <v>322</v>
      </c>
      <c r="B45" s="1" t="s">
        <v>323</v>
      </c>
      <c r="C45" s="1" t="s">
        <v>15</v>
      </c>
      <c r="D45" s="1" t="s">
        <v>324</v>
      </c>
      <c r="E45" s="1"/>
      <c r="F45" s="4">
        <v>1500000</v>
      </c>
      <c r="G45" s="1"/>
      <c r="H45" s="1"/>
      <c r="I45" s="1" t="s">
        <v>325</v>
      </c>
      <c r="J45" s="1" t="s">
        <v>75</v>
      </c>
      <c r="K45" s="1" t="s">
        <v>326</v>
      </c>
      <c r="L45" s="1" t="s">
        <v>19</v>
      </c>
      <c r="M45" s="1"/>
    </row>
    <row r="46" spans="1:13" x14ac:dyDescent="0.25">
      <c r="A46" s="1" t="s">
        <v>212</v>
      </c>
      <c r="B46" s="1" t="s">
        <v>213</v>
      </c>
      <c r="C46" s="1" t="s">
        <v>15</v>
      </c>
      <c r="D46" s="1" t="s">
        <v>214</v>
      </c>
      <c r="E46" s="1"/>
      <c r="F46" s="4">
        <v>1800000</v>
      </c>
      <c r="G46" s="1"/>
      <c r="H46" s="1"/>
      <c r="I46" s="1" t="s">
        <v>215</v>
      </c>
      <c r="J46" s="1" t="s">
        <v>75</v>
      </c>
      <c r="K46" s="1" t="s">
        <v>216</v>
      </c>
      <c r="L46" s="1" t="s">
        <v>19</v>
      </c>
      <c r="M46" s="1"/>
    </row>
    <row r="47" spans="1:13" x14ac:dyDescent="0.25">
      <c r="A47" s="1" t="s">
        <v>327</v>
      </c>
      <c r="B47" s="1" t="s">
        <v>328</v>
      </c>
      <c r="C47" s="1" t="s">
        <v>15</v>
      </c>
      <c r="D47" s="1" t="s">
        <v>329</v>
      </c>
      <c r="E47" s="1"/>
      <c r="F47" s="4">
        <v>1800000</v>
      </c>
      <c r="G47" s="1"/>
      <c r="H47" s="1"/>
      <c r="I47" s="1" t="s">
        <v>330</v>
      </c>
      <c r="J47" s="1" t="s">
        <v>75</v>
      </c>
      <c r="K47" s="1" t="s">
        <v>331</v>
      </c>
      <c r="L47" s="1" t="s">
        <v>19</v>
      </c>
      <c r="M47" s="1"/>
    </row>
    <row r="48" spans="1:13" x14ac:dyDescent="0.25">
      <c r="A48" s="1" t="s">
        <v>87</v>
      </c>
      <c r="B48" s="1" t="s">
        <v>88</v>
      </c>
      <c r="C48" s="1" t="s">
        <v>15</v>
      </c>
      <c r="D48" s="1" t="s">
        <v>89</v>
      </c>
      <c r="E48" s="1"/>
      <c r="F48" s="4">
        <v>2000000</v>
      </c>
      <c r="G48" s="1"/>
      <c r="H48" s="1"/>
      <c r="I48" s="1" t="s">
        <v>90</v>
      </c>
      <c r="J48" s="1" t="s">
        <v>75</v>
      </c>
      <c r="K48" s="1" t="s">
        <v>91</v>
      </c>
      <c r="L48" s="1" t="s">
        <v>19</v>
      </c>
      <c r="M48" s="1"/>
    </row>
    <row r="49" spans="1:13" x14ac:dyDescent="0.25">
      <c r="A49" s="1" t="s">
        <v>137</v>
      </c>
      <c r="B49" s="1" t="s">
        <v>138</v>
      </c>
      <c r="C49" s="1" t="s">
        <v>15</v>
      </c>
      <c r="D49" s="1" t="s">
        <v>139</v>
      </c>
      <c r="E49" s="1"/>
      <c r="F49" s="4">
        <v>2000000</v>
      </c>
      <c r="G49" s="1"/>
      <c r="H49" s="1"/>
      <c r="I49" s="1" t="s">
        <v>140</v>
      </c>
      <c r="J49" s="1" t="s">
        <v>75</v>
      </c>
      <c r="K49" s="1" t="s">
        <v>141</v>
      </c>
      <c r="L49" s="1" t="s">
        <v>19</v>
      </c>
      <c r="M49" s="1"/>
    </row>
    <row r="50" spans="1:13" x14ac:dyDescent="0.25">
      <c r="A50" s="1" t="s">
        <v>267</v>
      </c>
      <c r="B50" s="1" t="s">
        <v>268</v>
      </c>
      <c r="C50" s="1" t="s">
        <v>15</v>
      </c>
      <c r="D50" s="1" t="s">
        <v>269</v>
      </c>
      <c r="E50" s="1"/>
      <c r="F50" s="4">
        <v>2000000</v>
      </c>
      <c r="G50" s="1"/>
      <c r="H50" s="1"/>
      <c r="I50" s="1" t="s">
        <v>270</v>
      </c>
      <c r="J50" s="1" t="s">
        <v>75</v>
      </c>
      <c r="K50" s="1" t="s">
        <v>271</v>
      </c>
      <c r="L50" s="1" t="s">
        <v>19</v>
      </c>
      <c r="M50" s="1"/>
    </row>
    <row r="51" spans="1:13" x14ac:dyDescent="0.25">
      <c r="A51" s="1" t="s">
        <v>282</v>
      </c>
      <c r="B51" s="1" t="s">
        <v>283</v>
      </c>
      <c r="C51" s="1" t="s">
        <v>15</v>
      </c>
      <c r="D51" s="1" t="s">
        <v>284</v>
      </c>
      <c r="E51" s="1"/>
      <c r="F51" s="4">
        <v>2250000</v>
      </c>
      <c r="G51" s="1"/>
      <c r="H51" s="1"/>
      <c r="I51" s="1" t="s">
        <v>285</v>
      </c>
      <c r="J51" s="1" t="s">
        <v>75</v>
      </c>
      <c r="K51" s="1" t="s">
        <v>286</v>
      </c>
      <c r="L51" s="1" t="s">
        <v>19</v>
      </c>
      <c r="M51" s="1"/>
    </row>
    <row r="52" spans="1:13" x14ac:dyDescent="0.25">
      <c r="A52" s="1" t="s">
        <v>127</v>
      </c>
      <c r="B52" s="1" t="s">
        <v>128</v>
      </c>
      <c r="C52" s="1" t="s">
        <v>15</v>
      </c>
      <c r="D52" s="1" t="s">
        <v>129</v>
      </c>
      <c r="E52" s="1"/>
      <c r="F52" s="4">
        <v>2500000</v>
      </c>
      <c r="G52" s="1"/>
      <c r="H52" s="1"/>
      <c r="I52" s="1" t="s">
        <v>130</v>
      </c>
      <c r="J52" s="1" t="s">
        <v>75</v>
      </c>
      <c r="K52" s="1" t="s">
        <v>131</v>
      </c>
      <c r="L52" s="1" t="s">
        <v>19</v>
      </c>
      <c r="M52" s="1"/>
    </row>
    <row r="53" spans="1:13" x14ac:dyDescent="0.25">
      <c r="A53" s="1" t="s">
        <v>451</v>
      </c>
      <c r="B53" s="1" t="s">
        <v>193</v>
      </c>
      <c r="C53" s="1" t="s">
        <v>15</v>
      </c>
      <c r="D53" s="1" t="s">
        <v>194</v>
      </c>
      <c r="E53" s="1"/>
      <c r="F53" s="4">
        <v>2500000</v>
      </c>
      <c r="G53" s="1"/>
      <c r="H53" s="1"/>
      <c r="I53" s="1" t="s">
        <v>195</v>
      </c>
      <c r="J53" s="1" t="s">
        <v>75</v>
      </c>
      <c r="K53" s="1" t="s">
        <v>196</v>
      </c>
      <c r="L53" s="1" t="s">
        <v>19</v>
      </c>
      <c r="M53" s="1"/>
    </row>
    <row r="54" spans="1:13" x14ac:dyDescent="0.25">
      <c r="A54" s="1" t="s">
        <v>237</v>
      </c>
      <c r="B54" s="1" t="s">
        <v>238</v>
      </c>
      <c r="C54" s="1" t="s">
        <v>15</v>
      </c>
      <c r="D54" s="1" t="s">
        <v>239</v>
      </c>
      <c r="E54" s="1"/>
      <c r="F54" s="4">
        <v>2500000</v>
      </c>
      <c r="G54" s="1"/>
      <c r="H54" s="1"/>
      <c r="I54" s="1" t="s">
        <v>240</v>
      </c>
      <c r="J54" s="1" t="s">
        <v>75</v>
      </c>
      <c r="K54" s="1" t="s">
        <v>241</v>
      </c>
      <c r="L54" s="1" t="s">
        <v>19</v>
      </c>
      <c r="M54" s="1"/>
    </row>
    <row r="55" spans="1:13" x14ac:dyDescent="0.25">
      <c r="A55" s="1" t="s">
        <v>97</v>
      </c>
      <c r="B55" s="1" t="s">
        <v>98</v>
      </c>
      <c r="C55" s="1" t="s">
        <v>15</v>
      </c>
      <c r="D55" s="1" t="s">
        <v>99</v>
      </c>
      <c r="E55" s="1"/>
      <c r="F55" s="4">
        <v>2800000</v>
      </c>
      <c r="G55" s="1"/>
      <c r="H55" s="1"/>
      <c r="I55" s="1" t="s">
        <v>100</v>
      </c>
      <c r="J55" s="1" t="s">
        <v>75</v>
      </c>
      <c r="K55" s="1" t="s">
        <v>101</v>
      </c>
      <c r="L55" s="1" t="s">
        <v>19</v>
      </c>
      <c r="M55" s="1"/>
    </row>
    <row r="56" spans="1:13" x14ac:dyDescent="0.25">
      <c r="A56" s="1" t="s">
        <v>287</v>
      </c>
      <c r="B56" s="1" t="s">
        <v>288</v>
      </c>
      <c r="C56" s="1" t="s">
        <v>15</v>
      </c>
      <c r="D56" s="1" t="s">
        <v>289</v>
      </c>
      <c r="E56" s="1"/>
      <c r="F56" s="4">
        <v>3024000</v>
      </c>
      <c r="G56" s="1"/>
      <c r="H56" s="1"/>
      <c r="I56" s="1" t="s">
        <v>290</v>
      </c>
      <c r="J56" s="1" t="s">
        <v>75</v>
      </c>
      <c r="K56" s="1" t="s">
        <v>291</v>
      </c>
      <c r="L56" s="1" t="s">
        <v>19</v>
      </c>
      <c r="M56" s="1"/>
    </row>
    <row r="57" spans="1:13" x14ac:dyDescent="0.25">
      <c r="A57" s="1" t="s">
        <v>77</v>
      </c>
      <c r="B57" s="1" t="s">
        <v>78</v>
      </c>
      <c r="C57" s="1" t="s">
        <v>15</v>
      </c>
      <c r="D57" s="1" t="s">
        <v>79</v>
      </c>
      <c r="E57" s="1"/>
      <c r="F57" s="4">
        <v>3500000</v>
      </c>
      <c r="G57" s="1"/>
      <c r="H57" s="1"/>
      <c r="I57" s="1" t="s">
        <v>80</v>
      </c>
      <c r="J57" s="1" t="s">
        <v>75</v>
      </c>
      <c r="K57" s="1" t="s">
        <v>81</v>
      </c>
      <c r="L57" s="1" t="s">
        <v>19</v>
      </c>
      <c r="M57" s="1"/>
    </row>
    <row r="58" spans="1:13" x14ac:dyDescent="0.25">
      <c r="A58" s="1" t="s">
        <v>142</v>
      </c>
      <c r="B58" s="1" t="s">
        <v>143</v>
      </c>
      <c r="C58" s="1" t="s">
        <v>15</v>
      </c>
      <c r="D58" s="1" t="s">
        <v>144</v>
      </c>
      <c r="E58" s="1"/>
      <c r="F58" s="4">
        <v>3500000</v>
      </c>
      <c r="G58" s="1"/>
      <c r="H58" s="1"/>
      <c r="I58" s="1" t="s">
        <v>145</v>
      </c>
      <c r="J58" s="1" t="s">
        <v>75</v>
      </c>
      <c r="K58" s="1" t="s">
        <v>146</v>
      </c>
      <c r="L58" s="1" t="s">
        <v>19</v>
      </c>
      <c r="M58" s="1"/>
    </row>
    <row r="59" spans="1:13" x14ac:dyDescent="0.25">
      <c r="A59" s="1" t="s">
        <v>247</v>
      </c>
      <c r="B59" s="1" t="s">
        <v>248</v>
      </c>
      <c r="C59" s="1" t="s">
        <v>15</v>
      </c>
      <c r="D59" s="1" t="s">
        <v>249</v>
      </c>
      <c r="E59" s="1"/>
      <c r="F59" s="4">
        <v>4000000</v>
      </c>
      <c r="G59" s="1"/>
      <c r="H59" s="1"/>
      <c r="I59" s="1" t="s">
        <v>250</v>
      </c>
      <c r="J59" s="1" t="s">
        <v>75</v>
      </c>
      <c r="K59" s="1" t="s">
        <v>251</v>
      </c>
      <c r="L59" s="1" t="s">
        <v>19</v>
      </c>
      <c r="M59" s="1"/>
    </row>
    <row r="60" spans="1:13" x14ac:dyDescent="0.25">
      <c r="A60" s="1" t="s">
        <v>292</v>
      </c>
      <c r="B60" s="1" t="s">
        <v>293</v>
      </c>
      <c r="C60" s="1" t="s">
        <v>15</v>
      </c>
      <c r="D60" s="1" t="s">
        <v>294</v>
      </c>
      <c r="E60" s="1"/>
      <c r="F60" s="4">
        <v>4200000</v>
      </c>
      <c r="G60" s="1"/>
      <c r="H60" s="1"/>
      <c r="I60" s="1" t="s">
        <v>295</v>
      </c>
      <c r="J60" s="1" t="s">
        <v>75</v>
      </c>
      <c r="K60" s="1" t="s">
        <v>296</v>
      </c>
      <c r="L60" s="1" t="s">
        <v>19</v>
      </c>
      <c r="M60" s="1"/>
    </row>
    <row r="61" spans="1:13" x14ac:dyDescent="0.25">
      <c r="A61" s="1" t="s">
        <v>332</v>
      </c>
      <c r="B61" s="1" t="s">
        <v>333</v>
      </c>
      <c r="C61" s="1" t="s">
        <v>15</v>
      </c>
      <c r="D61" s="1" t="s">
        <v>334</v>
      </c>
      <c r="E61" s="1"/>
      <c r="F61" s="4">
        <v>4500000</v>
      </c>
      <c r="G61" s="1"/>
      <c r="H61" s="1"/>
      <c r="I61" s="1" t="s">
        <v>335</v>
      </c>
      <c r="J61" s="1" t="s">
        <v>75</v>
      </c>
      <c r="K61" s="1" t="s">
        <v>336</v>
      </c>
      <c r="L61" s="1" t="s">
        <v>19</v>
      </c>
      <c r="M61" s="1"/>
    </row>
    <row r="62" spans="1:13" x14ac:dyDescent="0.25">
      <c r="A62" s="1" t="s">
        <v>92</v>
      </c>
      <c r="B62" s="1" t="s">
        <v>93</v>
      </c>
      <c r="C62" s="1" t="s">
        <v>15</v>
      </c>
      <c r="D62" s="1" t="s">
        <v>94</v>
      </c>
      <c r="E62" s="1"/>
      <c r="F62" s="4">
        <v>5000000</v>
      </c>
      <c r="G62" s="1"/>
      <c r="H62" s="1"/>
      <c r="I62" s="1" t="s">
        <v>95</v>
      </c>
      <c r="J62" s="1" t="s">
        <v>75</v>
      </c>
      <c r="K62" s="1" t="s">
        <v>96</v>
      </c>
      <c r="L62" s="1" t="s">
        <v>19</v>
      </c>
      <c r="M62" s="1"/>
    </row>
    <row r="63" spans="1:13" x14ac:dyDescent="0.25">
      <c r="A63" s="1" t="s">
        <v>102</v>
      </c>
      <c r="B63" s="1" t="s">
        <v>103</v>
      </c>
      <c r="C63" s="1" t="s">
        <v>15</v>
      </c>
      <c r="D63" s="1" t="s">
        <v>104</v>
      </c>
      <c r="E63" s="1"/>
      <c r="F63" s="4">
        <v>6500000</v>
      </c>
      <c r="G63" s="1"/>
      <c r="H63" s="1"/>
      <c r="I63" s="1" t="s">
        <v>105</v>
      </c>
      <c r="J63" s="1" t="s">
        <v>75</v>
      </c>
      <c r="K63" s="1" t="s">
        <v>106</v>
      </c>
      <c r="L63" s="1" t="s">
        <v>19</v>
      </c>
      <c r="M63" s="1"/>
    </row>
    <row r="64" spans="1:13" x14ac:dyDescent="0.25">
      <c r="A64" s="1" t="s">
        <v>82</v>
      </c>
      <c r="B64" s="1" t="s">
        <v>83</v>
      </c>
      <c r="C64" s="1" t="s">
        <v>15</v>
      </c>
      <c r="D64" s="1" t="s">
        <v>84</v>
      </c>
      <c r="E64" s="1"/>
      <c r="F64" s="4">
        <v>7000000</v>
      </c>
      <c r="G64" s="1"/>
      <c r="H64" s="1"/>
      <c r="I64" s="1" t="s">
        <v>85</v>
      </c>
      <c r="J64" s="1" t="s">
        <v>75</v>
      </c>
      <c r="K64" s="1" t="s">
        <v>86</v>
      </c>
      <c r="L64" s="1" t="s">
        <v>19</v>
      </c>
      <c r="M64" s="1"/>
    </row>
    <row r="65" spans="1:13" x14ac:dyDescent="0.25">
      <c r="A65" s="1" t="s">
        <v>452</v>
      </c>
      <c r="B65" s="1" t="s">
        <v>198</v>
      </c>
      <c r="C65" s="1" t="s">
        <v>15</v>
      </c>
      <c r="D65" s="1" t="s">
        <v>199</v>
      </c>
      <c r="E65" s="1"/>
      <c r="F65" s="4">
        <v>7500000</v>
      </c>
      <c r="G65" s="1"/>
      <c r="H65" s="1"/>
      <c r="I65" s="1" t="s">
        <v>200</v>
      </c>
      <c r="J65" s="1" t="s">
        <v>75</v>
      </c>
      <c r="K65" s="1" t="s">
        <v>201</v>
      </c>
      <c r="L65" s="1" t="s">
        <v>19</v>
      </c>
      <c r="M65" s="1"/>
    </row>
    <row r="66" spans="1:13" x14ac:dyDescent="0.25">
      <c r="A66" s="1" t="s">
        <v>297</v>
      </c>
      <c r="B66" s="1" t="s">
        <v>298</v>
      </c>
      <c r="C66" s="1" t="s">
        <v>15</v>
      </c>
      <c r="D66" s="1" t="s">
        <v>299</v>
      </c>
      <c r="E66" s="1"/>
      <c r="F66" s="4">
        <v>7800000</v>
      </c>
      <c r="G66" s="1"/>
      <c r="H66" s="1"/>
      <c r="I66" s="1" t="s">
        <v>300</v>
      </c>
      <c r="J66" s="1" t="s">
        <v>75</v>
      </c>
      <c r="K66" s="1" t="s">
        <v>301</v>
      </c>
      <c r="L66" s="1" t="s">
        <v>19</v>
      </c>
      <c r="M66" s="1"/>
    </row>
    <row r="67" spans="1:13" x14ac:dyDescent="0.25">
      <c r="A67" s="1" t="s">
        <v>117</v>
      </c>
      <c r="B67" s="1" t="s">
        <v>118</v>
      </c>
      <c r="C67" s="1" t="s">
        <v>15</v>
      </c>
      <c r="D67" s="1" t="s">
        <v>119</v>
      </c>
      <c r="E67" s="1"/>
      <c r="F67" s="4">
        <v>8000000</v>
      </c>
      <c r="G67" s="1"/>
      <c r="H67" s="1"/>
      <c r="I67" s="1" t="s">
        <v>120</v>
      </c>
      <c r="J67" s="1" t="s">
        <v>75</v>
      </c>
      <c r="K67" s="1" t="s">
        <v>121</v>
      </c>
      <c r="L67" s="1" t="s">
        <v>19</v>
      </c>
      <c r="M67" s="1"/>
    </row>
    <row r="68" spans="1:13" x14ac:dyDescent="0.25">
      <c r="A68" s="1" t="s">
        <v>242</v>
      </c>
      <c r="B68" s="1" t="s">
        <v>243</v>
      </c>
      <c r="C68" s="1" t="s">
        <v>15</v>
      </c>
      <c r="D68" s="1" t="s">
        <v>244</v>
      </c>
      <c r="E68" s="1"/>
      <c r="F68" s="4">
        <v>8000000</v>
      </c>
      <c r="G68" s="1"/>
      <c r="H68" s="1"/>
      <c r="I68" s="1" t="s">
        <v>245</v>
      </c>
      <c r="J68" s="1" t="s">
        <v>75</v>
      </c>
      <c r="K68" s="1" t="s">
        <v>246</v>
      </c>
      <c r="L68" s="1" t="s">
        <v>19</v>
      </c>
      <c r="M68" s="1"/>
    </row>
    <row r="69" spans="1:13" x14ac:dyDescent="0.25">
      <c r="A69" s="1" t="s">
        <v>347</v>
      </c>
      <c r="B69" s="1" t="s">
        <v>348</v>
      </c>
      <c r="C69" s="1" t="s">
        <v>15</v>
      </c>
      <c r="D69" s="1" t="s">
        <v>349</v>
      </c>
      <c r="E69" s="1"/>
      <c r="F69" s="4">
        <v>8000000</v>
      </c>
      <c r="G69" s="1"/>
      <c r="H69" s="1"/>
      <c r="I69" s="1" t="s">
        <v>350</v>
      </c>
      <c r="J69" s="1" t="s">
        <v>75</v>
      </c>
      <c r="K69" s="1" t="s">
        <v>351</v>
      </c>
      <c r="L69" s="1" t="s">
        <v>19</v>
      </c>
      <c r="M69" s="1"/>
    </row>
    <row r="70" spans="1:13" x14ac:dyDescent="0.25">
      <c r="A70" s="1" t="s">
        <v>352</v>
      </c>
      <c r="B70" s="1" t="s">
        <v>353</v>
      </c>
      <c r="C70" s="1" t="s">
        <v>15</v>
      </c>
      <c r="D70" s="1" t="s">
        <v>354</v>
      </c>
      <c r="E70" s="1"/>
      <c r="F70" s="4">
        <v>9500000</v>
      </c>
      <c r="G70" s="1"/>
      <c r="H70" s="1"/>
      <c r="I70" s="1" t="s">
        <v>355</v>
      </c>
      <c r="J70" s="1" t="s">
        <v>75</v>
      </c>
      <c r="K70" s="1" t="s">
        <v>356</v>
      </c>
      <c r="L70" s="1" t="s">
        <v>19</v>
      </c>
      <c r="M70" s="1"/>
    </row>
    <row r="71" spans="1:13" x14ac:dyDescent="0.25">
      <c r="A71" s="1" t="s">
        <v>337</v>
      </c>
      <c r="B71" s="1" t="s">
        <v>338</v>
      </c>
      <c r="C71" s="1" t="s">
        <v>15</v>
      </c>
      <c r="D71" s="1" t="s">
        <v>339</v>
      </c>
      <c r="E71" s="1"/>
      <c r="F71" s="4">
        <v>12000000</v>
      </c>
      <c r="G71" s="1"/>
      <c r="H71" s="1"/>
      <c r="I71" s="1" t="s">
        <v>340</v>
      </c>
      <c r="J71" s="1" t="s">
        <v>75</v>
      </c>
      <c r="K71" s="1" t="s">
        <v>341</v>
      </c>
      <c r="L71" s="1" t="s">
        <v>19</v>
      </c>
      <c r="M71" s="1"/>
    </row>
    <row r="72" spans="1:13" x14ac:dyDescent="0.25">
      <c r="A72" s="1" t="s">
        <v>272</v>
      </c>
      <c r="B72" s="1" t="s">
        <v>273</v>
      </c>
      <c r="C72" s="1" t="s">
        <v>15</v>
      </c>
      <c r="D72" s="1" t="s">
        <v>274</v>
      </c>
      <c r="E72" s="1"/>
      <c r="F72" s="4">
        <v>15000000</v>
      </c>
      <c r="G72" s="1"/>
      <c r="H72" s="1"/>
      <c r="I72" s="1" t="s">
        <v>275</v>
      </c>
      <c r="J72" s="1" t="s">
        <v>75</v>
      </c>
      <c r="K72" s="1" t="s">
        <v>276</v>
      </c>
      <c r="L72" s="1" t="s">
        <v>19</v>
      </c>
      <c r="M72" s="1"/>
    </row>
    <row r="73" spans="1:13" x14ac:dyDescent="0.25">
      <c r="A73" s="1" t="s">
        <v>357</v>
      </c>
      <c r="B73" s="1" t="s">
        <v>358</v>
      </c>
      <c r="C73" s="1" t="s">
        <v>15</v>
      </c>
      <c r="D73" s="1" t="s">
        <v>359</v>
      </c>
      <c r="E73" s="1"/>
      <c r="F73" s="4">
        <v>15000000</v>
      </c>
      <c r="G73" s="1"/>
      <c r="H73" s="1"/>
      <c r="I73" s="1" t="s">
        <v>360</v>
      </c>
      <c r="J73" s="1" t="s">
        <v>75</v>
      </c>
      <c r="K73" s="1" t="s">
        <v>361</v>
      </c>
      <c r="L73" s="1" t="s">
        <v>19</v>
      </c>
      <c r="M73" s="1"/>
    </row>
    <row r="74" spans="1:13" x14ac:dyDescent="0.25">
      <c r="A74" s="1" t="s">
        <v>107</v>
      </c>
      <c r="B74" s="1" t="s">
        <v>108</v>
      </c>
      <c r="C74" s="1" t="s">
        <v>15</v>
      </c>
      <c r="D74" s="1" t="s">
        <v>109</v>
      </c>
      <c r="E74" s="1"/>
      <c r="F74" s="4">
        <v>18000000</v>
      </c>
      <c r="G74" s="1"/>
      <c r="H74" s="1"/>
      <c r="I74" s="1" t="s">
        <v>110</v>
      </c>
      <c r="J74" s="1" t="s">
        <v>75</v>
      </c>
      <c r="K74" s="1" t="s">
        <v>111</v>
      </c>
      <c r="L74" s="1" t="s">
        <v>19</v>
      </c>
      <c r="M74" s="1"/>
    </row>
    <row r="75" spans="1:13" x14ac:dyDescent="0.25">
      <c r="A75" s="1" t="s">
        <v>453</v>
      </c>
      <c r="B75" s="1" t="s">
        <v>203</v>
      </c>
      <c r="C75" s="1" t="s">
        <v>15</v>
      </c>
      <c r="D75" s="1" t="s">
        <v>204</v>
      </c>
      <c r="E75" s="1"/>
      <c r="F75" s="4">
        <v>20000000</v>
      </c>
      <c r="G75" s="1"/>
      <c r="H75" s="1"/>
      <c r="I75" s="1" t="s">
        <v>205</v>
      </c>
      <c r="J75" s="1" t="s">
        <v>75</v>
      </c>
      <c r="K75" s="1" t="s">
        <v>206</v>
      </c>
      <c r="L75" s="1" t="s">
        <v>19</v>
      </c>
      <c r="M75" s="1"/>
    </row>
    <row r="76" spans="1:13" x14ac:dyDescent="0.25">
      <c r="A76" s="1" t="s">
        <v>342</v>
      </c>
      <c r="B76" s="1" t="s">
        <v>343</v>
      </c>
      <c r="C76" s="1" t="s">
        <v>15</v>
      </c>
      <c r="D76" s="1" t="s">
        <v>344</v>
      </c>
      <c r="E76" s="1"/>
      <c r="F76" s="4">
        <v>35000000</v>
      </c>
      <c r="G76" s="1"/>
      <c r="H76" s="1"/>
      <c r="I76" s="1" t="s">
        <v>345</v>
      </c>
      <c r="J76" s="1" t="s">
        <v>75</v>
      </c>
      <c r="K76" s="1" t="s">
        <v>346</v>
      </c>
      <c r="L76" s="1" t="s">
        <v>19</v>
      </c>
      <c r="M76" s="1"/>
    </row>
    <row r="77" spans="1:13" x14ac:dyDescent="0.25">
      <c r="A77" s="1" t="s">
        <v>388</v>
      </c>
      <c r="B77" s="1" t="s">
        <v>389</v>
      </c>
      <c r="C77" s="1" t="s">
        <v>15</v>
      </c>
      <c r="D77" s="1" t="s">
        <v>390</v>
      </c>
      <c r="E77" s="1"/>
      <c r="F77" s="4">
        <v>3800000</v>
      </c>
      <c r="G77" s="1"/>
      <c r="H77" s="1"/>
      <c r="I77" s="1" t="s">
        <v>391</v>
      </c>
      <c r="J77" s="1" t="s">
        <v>381</v>
      </c>
      <c r="K77" s="1" t="s">
        <v>392</v>
      </c>
      <c r="L77" s="1" t="s">
        <v>19</v>
      </c>
      <c r="M77" s="1"/>
    </row>
    <row r="78" spans="1:13" x14ac:dyDescent="0.25">
      <c r="A78" s="1" t="s">
        <v>409</v>
      </c>
      <c r="B78" s="1" t="s">
        <v>389</v>
      </c>
      <c r="C78" s="1" t="s">
        <v>15</v>
      </c>
      <c r="D78" s="1" t="s">
        <v>410</v>
      </c>
      <c r="E78" s="1"/>
      <c r="F78" s="4">
        <v>3800000</v>
      </c>
      <c r="G78" s="1"/>
      <c r="H78" s="1"/>
      <c r="I78" s="1" t="s">
        <v>391</v>
      </c>
      <c r="J78" s="1" t="s">
        <v>381</v>
      </c>
      <c r="K78" s="1" t="s">
        <v>411</v>
      </c>
      <c r="L78" s="1" t="s">
        <v>19</v>
      </c>
      <c r="M78" s="1"/>
    </row>
    <row r="79" spans="1:13" x14ac:dyDescent="0.25">
      <c r="A79" s="1" t="s">
        <v>383</v>
      </c>
      <c r="B79" s="1" t="s">
        <v>384</v>
      </c>
      <c r="C79" s="1" t="s">
        <v>15</v>
      </c>
      <c r="D79" s="1" t="s">
        <v>385</v>
      </c>
      <c r="E79" s="1"/>
      <c r="F79" s="4">
        <v>4200000</v>
      </c>
      <c r="G79" s="1"/>
      <c r="H79" s="1"/>
      <c r="I79" s="1" t="s">
        <v>386</v>
      </c>
      <c r="J79" s="1" t="s">
        <v>381</v>
      </c>
      <c r="K79" s="1" t="s">
        <v>387</v>
      </c>
      <c r="L79" s="1" t="s">
        <v>19</v>
      </c>
      <c r="M79" s="1"/>
    </row>
    <row r="80" spans="1:13" x14ac:dyDescent="0.25">
      <c r="A80" s="1" t="s">
        <v>406</v>
      </c>
      <c r="B80" s="1" t="s">
        <v>384</v>
      </c>
      <c r="C80" s="1" t="s">
        <v>15</v>
      </c>
      <c r="D80" s="1" t="s">
        <v>407</v>
      </c>
      <c r="E80" s="1"/>
      <c r="F80" s="4">
        <v>4200000</v>
      </c>
      <c r="G80" s="1"/>
      <c r="H80" s="1"/>
      <c r="I80" s="1" t="s">
        <v>386</v>
      </c>
      <c r="J80" s="1" t="s">
        <v>381</v>
      </c>
      <c r="K80" s="1" t="s">
        <v>408</v>
      </c>
      <c r="L80" s="1" t="s">
        <v>19</v>
      </c>
      <c r="M80" s="1"/>
    </row>
    <row r="81" spans="1:13" x14ac:dyDescent="0.25">
      <c r="A81" s="1" t="s">
        <v>393</v>
      </c>
      <c r="B81" s="1" t="s">
        <v>394</v>
      </c>
      <c r="C81" s="1" t="s">
        <v>15</v>
      </c>
      <c r="D81" s="1" t="s">
        <v>395</v>
      </c>
      <c r="E81" s="1"/>
      <c r="F81" s="4">
        <v>5200000</v>
      </c>
      <c r="G81" s="1"/>
      <c r="H81" s="1"/>
      <c r="I81" s="1" t="s">
        <v>396</v>
      </c>
      <c r="J81" s="1" t="s">
        <v>381</v>
      </c>
      <c r="K81" s="1" t="s">
        <v>397</v>
      </c>
      <c r="L81" s="1" t="s">
        <v>19</v>
      </c>
      <c r="M81" s="1"/>
    </row>
    <row r="82" spans="1:13" x14ac:dyDescent="0.25">
      <c r="A82" s="1" t="s">
        <v>412</v>
      </c>
      <c r="B82" s="1" t="s">
        <v>394</v>
      </c>
      <c r="C82" s="1" t="s">
        <v>15</v>
      </c>
      <c r="D82" s="1" t="s">
        <v>413</v>
      </c>
      <c r="E82" s="1"/>
      <c r="F82" s="4">
        <v>5200000</v>
      </c>
      <c r="G82" s="1"/>
      <c r="H82" s="1"/>
      <c r="I82" s="1" t="s">
        <v>396</v>
      </c>
      <c r="J82" s="1" t="s">
        <v>381</v>
      </c>
      <c r="K82" s="1" t="s">
        <v>414</v>
      </c>
      <c r="L82" s="1" t="s">
        <v>19</v>
      </c>
      <c r="M82" s="1"/>
    </row>
    <row r="83" spans="1:13" x14ac:dyDescent="0.25">
      <c r="A83" s="1" t="s">
        <v>377</v>
      </c>
      <c r="B83" s="1" t="s">
        <v>378</v>
      </c>
      <c r="C83" s="1" t="s">
        <v>15</v>
      </c>
      <c r="D83" s="1" t="s">
        <v>379</v>
      </c>
      <c r="E83" s="1"/>
      <c r="F83" s="4">
        <v>6500000</v>
      </c>
      <c r="G83" s="1"/>
      <c r="H83" s="1"/>
      <c r="I83" s="1" t="s">
        <v>380</v>
      </c>
      <c r="J83" s="1" t="s">
        <v>381</v>
      </c>
      <c r="K83" s="1" t="s">
        <v>382</v>
      </c>
      <c r="L83" s="1" t="s">
        <v>19</v>
      </c>
      <c r="M83" s="1"/>
    </row>
    <row r="84" spans="1:13" x14ac:dyDescent="0.25">
      <c r="A84" s="1" t="s">
        <v>403</v>
      </c>
      <c r="B84" s="1" t="s">
        <v>378</v>
      </c>
      <c r="C84" s="1" t="s">
        <v>15</v>
      </c>
      <c r="D84" s="1" t="s">
        <v>404</v>
      </c>
      <c r="E84" s="1"/>
      <c r="F84" s="4">
        <v>6500000</v>
      </c>
      <c r="G84" s="1"/>
      <c r="H84" s="1"/>
      <c r="I84" s="1" t="s">
        <v>380</v>
      </c>
      <c r="J84" s="1" t="s">
        <v>381</v>
      </c>
      <c r="K84" s="1" t="s">
        <v>405</v>
      </c>
      <c r="L84" s="1" t="s">
        <v>19</v>
      </c>
      <c r="M84" s="1"/>
    </row>
    <row r="85" spans="1:13" x14ac:dyDescent="0.25">
      <c r="A85" s="1" t="s">
        <v>398</v>
      </c>
      <c r="B85" s="1" t="s">
        <v>399</v>
      </c>
      <c r="C85" s="1" t="s">
        <v>15</v>
      </c>
      <c r="D85" s="1" t="s">
        <v>400</v>
      </c>
      <c r="E85" s="1"/>
      <c r="F85" s="4">
        <v>7000000</v>
      </c>
      <c r="G85" s="1"/>
      <c r="H85" s="1"/>
      <c r="I85" s="1" t="s">
        <v>401</v>
      </c>
      <c r="J85" s="1" t="s">
        <v>381</v>
      </c>
      <c r="K85" s="1" t="s">
        <v>402</v>
      </c>
      <c r="L85" s="1" t="s">
        <v>19</v>
      </c>
      <c r="M85" s="1"/>
    </row>
    <row r="86" spans="1:13" x14ac:dyDescent="0.25">
      <c r="A86" s="1" t="s">
        <v>415</v>
      </c>
      <c r="B86" s="1" t="s">
        <v>399</v>
      </c>
      <c r="C86" s="1" t="s">
        <v>15</v>
      </c>
      <c r="D86" s="1" t="s">
        <v>416</v>
      </c>
      <c r="E86" s="1"/>
      <c r="F86" s="4">
        <v>7000000</v>
      </c>
      <c r="G86" s="1"/>
      <c r="H86" s="1"/>
      <c r="I86" s="1" t="s">
        <v>401</v>
      </c>
      <c r="J86" s="1" t="s">
        <v>381</v>
      </c>
      <c r="K86" s="1" t="s">
        <v>417</v>
      </c>
      <c r="L86" s="1" t="s">
        <v>19</v>
      </c>
      <c r="M86" s="1"/>
    </row>
    <row r="87" spans="1:13" x14ac:dyDescent="0.25">
      <c r="A87" s="1" t="s">
        <v>418</v>
      </c>
      <c r="B87" s="1" t="s">
        <v>419</v>
      </c>
      <c r="C87" s="1" t="s">
        <v>15</v>
      </c>
      <c r="D87" s="1" t="s">
        <v>420</v>
      </c>
      <c r="E87" s="1"/>
      <c r="F87" s="4">
        <v>0</v>
      </c>
      <c r="G87" s="1"/>
      <c r="H87" s="1"/>
      <c r="I87" s="1" t="s">
        <v>421</v>
      </c>
      <c r="J87" s="1" t="s">
        <v>422</v>
      </c>
      <c r="K87" s="1" t="s">
        <v>423</v>
      </c>
      <c r="L87" s="1" t="s">
        <v>19</v>
      </c>
      <c r="M87" s="1"/>
    </row>
    <row r="88" spans="1:13" x14ac:dyDescent="0.25">
      <c r="A88" s="1" t="s">
        <v>424</v>
      </c>
      <c r="B88" s="1" t="s">
        <v>425</v>
      </c>
      <c r="C88" s="1" t="s">
        <v>15</v>
      </c>
      <c r="D88" s="1" t="s">
        <v>426</v>
      </c>
      <c r="E88" s="1"/>
      <c r="F88" s="4">
        <v>24900</v>
      </c>
      <c r="G88" s="1"/>
      <c r="H88" s="1"/>
      <c r="I88" s="1" t="s">
        <v>427</v>
      </c>
      <c r="J88" s="1" t="s">
        <v>422</v>
      </c>
      <c r="K88" s="1" t="s">
        <v>428</v>
      </c>
      <c r="L88" s="1" t="s">
        <v>19</v>
      </c>
      <c r="M88" s="1"/>
    </row>
    <row r="89" spans="1:13" x14ac:dyDescent="0.25">
      <c r="A89" s="1" t="s">
        <v>429</v>
      </c>
      <c r="B89" s="1" t="s">
        <v>430</v>
      </c>
      <c r="C89" s="1" t="s">
        <v>15</v>
      </c>
      <c r="D89" s="1" t="s">
        <v>431</v>
      </c>
      <c r="E89" s="1"/>
      <c r="F89" s="4">
        <v>24900</v>
      </c>
      <c r="G89" s="1"/>
      <c r="H89" s="1"/>
      <c r="I89" s="1" t="s">
        <v>432</v>
      </c>
      <c r="J89" s="1" t="s">
        <v>422</v>
      </c>
      <c r="K89" s="1" t="s">
        <v>433</v>
      </c>
      <c r="L89" s="1" t="s">
        <v>19</v>
      </c>
      <c r="M89" s="1"/>
    </row>
    <row r="90" spans="1:13" x14ac:dyDescent="0.25">
      <c r="A90" s="1" t="s">
        <v>444</v>
      </c>
      <c r="B90" s="1" t="s">
        <v>445</v>
      </c>
      <c r="C90" s="1" t="s">
        <v>15</v>
      </c>
      <c r="D90" s="1" t="s">
        <v>446</v>
      </c>
      <c r="E90" s="1"/>
      <c r="F90" s="4">
        <v>29900</v>
      </c>
      <c r="G90" s="1"/>
      <c r="H90" s="1"/>
      <c r="I90" s="1" t="s">
        <v>447</v>
      </c>
      <c r="J90" s="1" t="s">
        <v>422</v>
      </c>
      <c r="K90" s="1" t="s">
        <v>448</v>
      </c>
      <c r="L90" s="1" t="s">
        <v>19</v>
      </c>
      <c r="M90" s="1"/>
    </row>
    <row r="91" spans="1:13" x14ac:dyDescent="0.25">
      <c r="A91" s="1" t="s">
        <v>434</v>
      </c>
      <c r="B91" s="1" t="s">
        <v>435</v>
      </c>
      <c r="C91" s="1" t="s">
        <v>15</v>
      </c>
      <c r="D91" s="1" t="s">
        <v>436</v>
      </c>
      <c r="E91" s="1"/>
      <c r="F91" s="4">
        <v>49900</v>
      </c>
      <c r="G91" s="1"/>
      <c r="H91" s="1"/>
      <c r="I91" s="1" t="s">
        <v>437</v>
      </c>
      <c r="J91" s="1" t="s">
        <v>422</v>
      </c>
      <c r="K91" s="1" t="s">
        <v>438</v>
      </c>
      <c r="L91" s="1" t="s">
        <v>19</v>
      </c>
      <c r="M91" s="1"/>
    </row>
    <row r="92" spans="1:13" x14ac:dyDescent="0.25">
      <c r="A92" s="1" t="s">
        <v>439</v>
      </c>
      <c r="B92" s="1" t="s">
        <v>440</v>
      </c>
      <c r="C92" s="1" t="s">
        <v>15</v>
      </c>
      <c r="D92" s="1" t="s">
        <v>441</v>
      </c>
      <c r="E92" s="1"/>
      <c r="F92" s="4">
        <v>49900</v>
      </c>
      <c r="G92" s="1"/>
      <c r="H92" s="1"/>
      <c r="I92" s="1" t="s">
        <v>442</v>
      </c>
      <c r="J92" s="1" t="s">
        <v>422</v>
      </c>
      <c r="K92" s="1" t="s">
        <v>443</v>
      </c>
      <c r="L92" s="1" t="s">
        <v>19</v>
      </c>
      <c r="M92" s="1"/>
    </row>
  </sheetData>
  <autoFilter ref="A1:M92" xr:uid="{00000000-0001-0000-0000-000000000000}">
    <sortState xmlns:xlrd2="http://schemas.microsoft.com/office/spreadsheetml/2017/richdata2" ref="A2:M92">
      <sortCondition ref="J1:J9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371B-81AE-4896-BCB0-7F2568D432F8}">
  <dimension ref="A1:M7"/>
  <sheetViews>
    <sheetView workbookViewId="0">
      <selection activeCell="E2" sqref="E2:E7"/>
    </sheetView>
  </sheetViews>
  <sheetFormatPr baseColWidth="10" defaultRowHeight="15" x14ac:dyDescent="0.25"/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418</v>
      </c>
      <c r="B2" s="1" t="s">
        <v>419</v>
      </c>
      <c r="C2" s="1" t="s">
        <v>15</v>
      </c>
      <c r="D2" s="1" t="s">
        <v>420</v>
      </c>
      <c r="E2" s="1"/>
      <c r="F2" s="4">
        <v>0</v>
      </c>
      <c r="G2" s="1"/>
      <c r="H2" s="1"/>
      <c r="I2" s="1" t="s">
        <v>421</v>
      </c>
      <c r="J2" s="1" t="s">
        <v>422</v>
      </c>
      <c r="K2" s="1" t="s">
        <v>423</v>
      </c>
      <c r="L2" s="1" t="s">
        <v>19</v>
      </c>
      <c r="M2" s="1"/>
    </row>
    <row r="3" spans="1:13" x14ac:dyDescent="0.25">
      <c r="A3" s="1" t="s">
        <v>424</v>
      </c>
      <c r="B3" s="1" t="s">
        <v>425</v>
      </c>
      <c r="C3" s="1" t="s">
        <v>15</v>
      </c>
      <c r="D3" s="1" t="s">
        <v>426</v>
      </c>
      <c r="E3" s="1"/>
      <c r="F3" s="4">
        <v>24900</v>
      </c>
      <c r="G3" s="1"/>
      <c r="H3" s="1"/>
      <c r="I3" s="1" t="s">
        <v>427</v>
      </c>
      <c r="J3" s="1" t="s">
        <v>422</v>
      </c>
      <c r="K3" s="1" t="s">
        <v>428</v>
      </c>
      <c r="L3" s="1" t="s">
        <v>19</v>
      </c>
      <c r="M3" s="1"/>
    </row>
    <row r="4" spans="1:13" x14ac:dyDescent="0.25">
      <c r="A4" s="1" t="s">
        <v>429</v>
      </c>
      <c r="B4" s="1" t="s">
        <v>430</v>
      </c>
      <c r="C4" s="1" t="s">
        <v>15</v>
      </c>
      <c r="D4" s="1" t="s">
        <v>431</v>
      </c>
      <c r="E4" s="1"/>
      <c r="F4" s="4">
        <v>24900</v>
      </c>
      <c r="G4" s="1"/>
      <c r="H4" s="1"/>
      <c r="I4" s="1" t="s">
        <v>432</v>
      </c>
      <c r="J4" s="1" t="s">
        <v>422</v>
      </c>
      <c r="K4" s="1" t="s">
        <v>433</v>
      </c>
      <c r="L4" s="1" t="s">
        <v>19</v>
      </c>
      <c r="M4" s="1"/>
    </row>
    <row r="5" spans="1:13" x14ac:dyDescent="0.25">
      <c r="A5" s="1" t="s">
        <v>444</v>
      </c>
      <c r="B5" s="1" t="s">
        <v>445</v>
      </c>
      <c r="C5" s="1" t="s">
        <v>15</v>
      </c>
      <c r="D5" s="1" t="s">
        <v>446</v>
      </c>
      <c r="E5" s="1"/>
      <c r="F5" s="4">
        <v>29900</v>
      </c>
      <c r="G5" s="1"/>
      <c r="H5" s="1"/>
      <c r="I5" s="1" t="s">
        <v>447</v>
      </c>
      <c r="J5" s="1" t="s">
        <v>422</v>
      </c>
      <c r="K5" s="1" t="s">
        <v>448</v>
      </c>
      <c r="L5" s="1" t="s">
        <v>19</v>
      </c>
      <c r="M5" s="1"/>
    </row>
    <row r="6" spans="1:13" x14ac:dyDescent="0.25">
      <c r="A6" s="1" t="s">
        <v>434</v>
      </c>
      <c r="B6" s="1" t="s">
        <v>435</v>
      </c>
      <c r="C6" s="1" t="s">
        <v>15</v>
      </c>
      <c r="D6" s="1" t="s">
        <v>436</v>
      </c>
      <c r="E6" s="1"/>
      <c r="F6" s="4">
        <v>49900</v>
      </c>
      <c r="G6" s="1"/>
      <c r="H6" s="1"/>
      <c r="I6" s="1" t="s">
        <v>437</v>
      </c>
      <c r="J6" s="1" t="s">
        <v>422</v>
      </c>
      <c r="K6" s="1" t="s">
        <v>438</v>
      </c>
      <c r="L6" s="1" t="s">
        <v>19</v>
      </c>
      <c r="M6" s="1"/>
    </row>
    <row r="7" spans="1:13" x14ac:dyDescent="0.25">
      <c r="A7" s="1" t="s">
        <v>439</v>
      </c>
      <c r="B7" s="1" t="s">
        <v>440</v>
      </c>
      <c r="C7" s="1" t="s">
        <v>15</v>
      </c>
      <c r="D7" s="1" t="s">
        <v>441</v>
      </c>
      <c r="E7" s="1"/>
      <c r="F7" s="4">
        <v>49900</v>
      </c>
      <c r="G7" s="1"/>
      <c r="H7" s="1"/>
      <c r="I7" s="1" t="s">
        <v>442</v>
      </c>
      <c r="J7" s="1" t="s">
        <v>422</v>
      </c>
      <c r="K7" s="1" t="s">
        <v>443</v>
      </c>
      <c r="L7" s="1" t="s">
        <v>19</v>
      </c>
      <c r="M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890D-82A5-44C5-941D-C98AEF613849}">
  <dimension ref="A1:M11"/>
  <sheetViews>
    <sheetView workbookViewId="0">
      <selection activeCell="E2" sqref="E2:E11"/>
    </sheetView>
  </sheetViews>
  <sheetFormatPr baseColWidth="10" defaultRowHeight="15" x14ac:dyDescent="0.25"/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388</v>
      </c>
      <c r="B2" s="1" t="s">
        <v>389</v>
      </c>
      <c r="C2" s="1" t="s">
        <v>15</v>
      </c>
      <c r="D2" s="1" t="s">
        <v>390</v>
      </c>
      <c r="E2" s="1"/>
      <c r="F2" s="4">
        <v>3800000</v>
      </c>
      <c r="G2" s="1"/>
      <c r="H2" s="1"/>
      <c r="I2" s="1" t="s">
        <v>391</v>
      </c>
      <c r="J2" s="1" t="s">
        <v>381</v>
      </c>
      <c r="K2" s="1" t="s">
        <v>392</v>
      </c>
      <c r="L2" s="1" t="s">
        <v>19</v>
      </c>
      <c r="M2" s="1"/>
    </row>
    <row r="3" spans="1:13" x14ac:dyDescent="0.25">
      <c r="A3" s="1" t="s">
        <v>409</v>
      </c>
      <c r="B3" s="1" t="s">
        <v>389</v>
      </c>
      <c r="C3" s="1" t="s">
        <v>15</v>
      </c>
      <c r="D3" s="1" t="s">
        <v>410</v>
      </c>
      <c r="E3" s="1"/>
      <c r="F3" s="4">
        <v>3800000</v>
      </c>
      <c r="G3" s="1"/>
      <c r="H3" s="1"/>
      <c r="I3" s="1" t="s">
        <v>391</v>
      </c>
      <c r="J3" s="1" t="s">
        <v>381</v>
      </c>
      <c r="K3" s="1" t="s">
        <v>411</v>
      </c>
      <c r="L3" s="1" t="s">
        <v>19</v>
      </c>
      <c r="M3" s="1"/>
    </row>
    <row r="4" spans="1:13" x14ac:dyDescent="0.25">
      <c r="A4" s="1" t="s">
        <v>383</v>
      </c>
      <c r="B4" s="1" t="s">
        <v>384</v>
      </c>
      <c r="C4" s="1" t="s">
        <v>15</v>
      </c>
      <c r="D4" s="1" t="s">
        <v>385</v>
      </c>
      <c r="E4" s="1"/>
      <c r="F4" s="4">
        <v>4200000</v>
      </c>
      <c r="G4" s="1"/>
      <c r="H4" s="1"/>
      <c r="I4" s="1" t="s">
        <v>386</v>
      </c>
      <c r="J4" s="1" t="s">
        <v>381</v>
      </c>
      <c r="K4" s="1" t="s">
        <v>387</v>
      </c>
      <c r="L4" s="1" t="s">
        <v>19</v>
      </c>
      <c r="M4" s="1"/>
    </row>
    <row r="5" spans="1:13" x14ac:dyDescent="0.25">
      <c r="A5" s="1" t="s">
        <v>406</v>
      </c>
      <c r="B5" s="1" t="s">
        <v>384</v>
      </c>
      <c r="C5" s="1" t="s">
        <v>15</v>
      </c>
      <c r="D5" s="1" t="s">
        <v>407</v>
      </c>
      <c r="E5" s="1"/>
      <c r="F5" s="4">
        <v>4200000</v>
      </c>
      <c r="G5" s="1"/>
      <c r="H5" s="1"/>
      <c r="I5" s="1" t="s">
        <v>386</v>
      </c>
      <c r="J5" s="1" t="s">
        <v>381</v>
      </c>
      <c r="K5" s="1" t="s">
        <v>408</v>
      </c>
      <c r="L5" s="1" t="s">
        <v>19</v>
      </c>
      <c r="M5" s="1"/>
    </row>
    <row r="6" spans="1:13" x14ac:dyDescent="0.25">
      <c r="A6" s="1" t="s">
        <v>393</v>
      </c>
      <c r="B6" s="1" t="s">
        <v>394</v>
      </c>
      <c r="C6" s="1" t="s">
        <v>15</v>
      </c>
      <c r="D6" s="1" t="s">
        <v>395</v>
      </c>
      <c r="E6" s="1"/>
      <c r="F6" s="4">
        <v>5200000</v>
      </c>
      <c r="G6" s="1"/>
      <c r="H6" s="1"/>
      <c r="I6" s="1" t="s">
        <v>396</v>
      </c>
      <c r="J6" s="1" t="s">
        <v>381</v>
      </c>
      <c r="K6" s="1" t="s">
        <v>397</v>
      </c>
      <c r="L6" s="1" t="s">
        <v>19</v>
      </c>
      <c r="M6" s="1"/>
    </row>
    <row r="7" spans="1:13" x14ac:dyDescent="0.25">
      <c r="A7" s="1" t="s">
        <v>412</v>
      </c>
      <c r="B7" s="1" t="s">
        <v>394</v>
      </c>
      <c r="C7" s="1" t="s">
        <v>15</v>
      </c>
      <c r="D7" s="1" t="s">
        <v>413</v>
      </c>
      <c r="E7" s="1"/>
      <c r="F7" s="4">
        <v>5200000</v>
      </c>
      <c r="G7" s="1"/>
      <c r="H7" s="1"/>
      <c r="I7" s="1" t="s">
        <v>396</v>
      </c>
      <c r="J7" s="1" t="s">
        <v>381</v>
      </c>
      <c r="K7" s="1" t="s">
        <v>414</v>
      </c>
      <c r="L7" s="1" t="s">
        <v>19</v>
      </c>
      <c r="M7" s="1"/>
    </row>
    <row r="8" spans="1:13" x14ac:dyDescent="0.25">
      <c r="A8" s="1" t="s">
        <v>377</v>
      </c>
      <c r="B8" s="1" t="s">
        <v>378</v>
      </c>
      <c r="C8" s="1" t="s">
        <v>15</v>
      </c>
      <c r="D8" s="1" t="s">
        <v>379</v>
      </c>
      <c r="E8" s="1"/>
      <c r="F8" s="4">
        <v>6500000</v>
      </c>
      <c r="G8" s="1"/>
      <c r="H8" s="1"/>
      <c r="I8" s="1" t="s">
        <v>380</v>
      </c>
      <c r="J8" s="1" t="s">
        <v>381</v>
      </c>
      <c r="K8" s="1" t="s">
        <v>382</v>
      </c>
      <c r="L8" s="1" t="s">
        <v>19</v>
      </c>
      <c r="M8" s="1"/>
    </row>
    <row r="9" spans="1:13" x14ac:dyDescent="0.25">
      <c r="A9" s="1" t="s">
        <v>403</v>
      </c>
      <c r="B9" s="1" t="s">
        <v>378</v>
      </c>
      <c r="C9" s="1" t="s">
        <v>15</v>
      </c>
      <c r="D9" s="1" t="s">
        <v>404</v>
      </c>
      <c r="E9" s="1"/>
      <c r="F9" s="4">
        <v>6500000</v>
      </c>
      <c r="G9" s="1"/>
      <c r="H9" s="1"/>
      <c r="I9" s="1" t="s">
        <v>380</v>
      </c>
      <c r="J9" s="1" t="s">
        <v>381</v>
      </c>
      <c r="K9" s="1" t="s">
        <v>405</v>
      </c>
      <c r="L9" s="1" t="s">
        <v>19</v>
      </c>
      <c r="M9" s="1"/>
    </row>
    <row r="10" spans="1:13" x14ac:dyDescent="0.25">
      <c r="A10" s="1" t="s">
        <v>398</v>
      </c>
      <c r="B10" s="1" t="s">
        <v>399</v>
      </c>
      <c r="C10" s="1" t="s">
        <v>15</v>
      </c>
      <c r="D10" s="1" t="s">
        <v>400</v>
      </c>
      <c r="E10" s="1"/>
      <c r="F10" s="4">
        <v>7000000</v>
      </c>
      <c r="G10" s="1"/>
      <c r="H10" s="1"/>
      <c r="I10" s="1" t="s">
        <v>401</v>
      </c>
      <c r="J10" s="1" t="s">
        <v>381</v>
      </c>
      <c r="K10" s="1" t="s">
        <v>402</v>
      </c>
      <c r="L10" s="1" t="s">
        <v>19</v>
      </c>
      <c r="M10" s="1"/>
    </row>
    <row r="11" spans="1:13" x14ac:dyDescent="0.25">
      <c r="A11" s="1" t="s">
        <v>415</v>
      </c>
      <c r="B11" s="1" t="s">
        <v>399</v>
      </c>
      <c r="C11" s="1" t="s">
        <v>15</v>
      </c>
      <c r="D11" s="1" t="s">
        <v>416</v>
      </c>
      <c r="E11" s="1"/>
      <c r="F11" s="4">
        <v>7000000</v>
      </c>
      <c r="G11" s="1"/>
      <c r="H11" s="1"/>
      <c r="I11" s="1" t="s">
        <v>401</v>
      </c>
      <c r="J11" s="1" t="s">
        <v>381</v>
      </c>
      <c r="K11" s="1" t="s">
        <v>417</v>
      </c>
      <c r="L11" s="1" t="s">
        <v>19</v>
      </c>
      <c r="M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8C52-77FB-464B-A2E5-02D5DED907CC}">
  <dimension ref="A1:M62"/>
  <sheetViews>
    <sheetView workbookViewId="0">
      <selection activeCell="B2" sqref="B2"/>
    </sheetView>
  </sheetViews>
  <sheetFormatPr baseColWidth="10" defaultRowHeight="15" x14ac:dyDescent="0.25"/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217</v>
      </c>
      <c r="B2" s="1" t="s">
        <v>218</v>
      </c>
      <c r="C2" s="1" t="s">
        <v>15</v>
      </c>
      <c r="D2" s="1" t="s">
        <v>219</v>
      </c>
      <c r="E2" s="1"/>
      <c r="F2" s="4">
        <v>0</v>
      </c>
      <c r="G2" s="1"/>
      <c r="H2" s="1"/>
      <c r="I2" s="1" t="s">
        <v>220</v>
      </c>
      <c r="J2" s="1" t="s">
        <v>75</v>
      </c>
      <c r="K2" s="1" t="s">
        <v>221</v>
      </c>
      <c r="L2" s="1" t="s">
        <v>19</v>
      </c>
      <c r="M2" s="1"/>
    </row>
    <row r="3" spans="1:13" x14ac:dyDescent="0.25">
      <c r="A3" s="1" t="s">
        <v>362</v>
      </c>
      <c r="B3" s="1" t="s">
        <v>363</v>
      </c>
      <c r="C3" s="1" t="s">
        <v>15</v>
      </c>
      <c r="D3" s="1" t="s">
        <v>364</v>
      </c>
      <c r="E3" s="1"/>
      <c r="F3" s="4">
        <v>25000</v>
      </c>
      <c r="G3" s="1"/>
      <c r="H3" s="1"/>
      <c r="I3" s="1" t="s">
        <v>365</v>
      </c>
      <c r="J3" s="1" t="s">
        <v>75</v>
      </c>
      <c r="K3" s="1" t="s">
        <v>366</v>
      </c>
      <c r="L3" s="1" t="s">
        <v>19</v>
      </c>
      <c r="M3" s="1"/>
    </row>
    <row r="4" spans="1:13" x14ac:dyDescent="0.25">
      <c r="A4" s="1" t="s">
        <v>317</v>
      </c>
      <c r="B4" s="1" t="s">
        <v>318</v>
      </c>
      <c r="C4" s="1" t="s">
        <v>15</v>
      </c>
      <c r="D4" s="1" t="s">
        <v>319</v>
      </c>
      <c r="E4" s="1"/>
      <c r="F4" s="4">
        <v>35000</v>
      </c>
      <c r="G4" s="1"/>
      <c r="H4" s="1"/>
      <c r="I4" s="1" t="s">
        <v>320</v>
      </c>
      <c r="J4" s="1" t="s">
        <v>75</v>
      </c>
      <c r="K4" s="1" t="s">
        <v>321</v>
      </c>
      <c r="L4" s="1" t="s">
        <v>19</v>
      </c>
      <c r="M4" s="1"/>
    </row>
    <row r="5" spans="1:13" x14ac:dyDescent="0.25">
      <c r="A5" s="1" t="s">
        <v>167</v>
      </c>
      <c r="B5" s="1" t="s">
        <v>168</v>
      </c>
      <c r="C5" s="1" t="s">
        <v>15</v>
      </c>
      <c r="D5" s="1" t="s">
        <v>169</v>
      </c>
      <c r="E5" s="1"/>
      <c r="F5" s="4">
        <v>50000</v>
      </c>
      <c r="G5" s="1"/>
      <c r="H5" s="1"/>
      <c r="I5" s="1" t="s">
        <v>170</v>
      </c>
      <c r="J5" s="1" t="s">
        <v>75</v>
      </c>
      <c r="K5" s="1" t="s">
        <v>171</v>
      </c>
      <c r="L5" s="1" t="s">
        <v>19</v>
      </c>
      <c r="M5" s="1"/>
    </row>
    <row r="6" spans="1:13" x14ac:dyDescent="0.25">
      <c r="A6" s="1" t="s">
        <v>222</v>
      </c>
      <c r="B6" s="1" t="s">
        <v>223</v>
      </c>
      <c r="C6" s="1" t="s">
        <v>15</v>
      </c>
      <c r="D6" s="1" t="s">
        <v>224</v>
      </c>
      <c r="E6" s="1"/>
      <c r="F6" s="4">
        <v>59900</v>
      </c>
      <c r="G6" s="1"/>
      <c r="H6" s="1"/>
      <c r="I6" s="1" t="s">
        <v>225</v>
      </c>
      <c r="J6" s="1" t="s">
        <v>75</v>
      </c>
      <c r="K6" s="1" t="s">
        <v>226</v>
      </c>
      <c r="L6" s="1" t="s">
        <v>19</v>
      </c>
      <c r="M6" s="1"/>
    </row>
    <row r="7" spans="1:13" x14ac:dyDescent="0.25">
      <c r="A7" s="1" t="s">
        <v>157</v>
      </c>
      <c r="B7" s="1" t="s">
        <v>158</v>
      </c>
      <c r="C7" s="1" t="s">
        <v>15</v>
      </c>
      <c r="D7" s="1" t="s">
        <v>159</v>
      </c>
      <c r="E7" s="1"/>
      <c r="F7" s="4">
        <v>80000</v>
      </c>
      <c r="G7" s="1"/>
      <c r="H7" s="1"/>
      <c r="I7" s="1" t="s">
        <v>160</v>
      </c>
      <c r="J7" s="1" t="s">
        <v>75</v>
      </c>
      <c r="K7" s="1" t="s">
        <v>161</v>
      </c>
      <c r="L7" s="1" t="s">
        <v>19</v>
      </c>
      <c r="M7" s="1"/>
    </row>
    <row r="8" spans="1:13" x14ac:dyDescent="0.25">
      <c r="A8" s="1" t="s">
        <v>172</v>
      </c>
      <c r="B8" s="1" t="s">
        <v>173</v>
      </c>
      <c r="C8" s="1" t="s">
        <v>15</v>
      </c>
      <c r="D8" s="1" t="s">
        <v>174</v>
      </c>
      <c r="E8" s="1"/>
      <c r="F8" s="4">
        <v>90000</v>
      </c>
      <c r="G8" s="1"/>
      <c r="H8" s="1"/>
      <c r="I8" s="1" t="s">
        <v>175</v>
      </c>
      <c r="J8" s="1" t="s">
        <v>75</v>
      </c>
      <c r="K8" s="1" t="s">
        <v>176</v>
      </c>
      <c r="L8" s="1" t="s">
        <v>19</v>
      </c>
      <c r="M8" s="1"/>
    </row>
    <row r="9" spans="1:13" x14ac:dyDescent="0.25">
      <c r="A9" s="1" t="s">
        <v>147</v>
      </c>
      <c r="B9" s="1" t="s">
        <v>148</v>
      </c>
      <c r="C9" s="1" t="s">
        <v>15</v>
      </c>
      <c r="D9" s="1" t="s">
        <v>149</v>
      </c>
      <c r="E9" s="1"/>
      <c r="F9" s="4">
        <v>120000</v>
      </c>
      <c r="G9" s="1"/>
      <c r="H9" s="1"/>
      <c r="I9" s="1" t="s">
        <v>150</v>
      </c>
      <c r="J9" s="1" t="s">
        <v>75</v>
      </c>
      <c r="K9" s="1" t="s">
        <v>151</v>
      </c>
      <c r="L9" s="1" t="s">
        <v>19</v>
      </c>
      <c r="M9" s="1"/>
    </row>
    <row r="10" spans="1:13" x14ac:dyDescent="0.25">
      <c r="A10" s="1" t="s">
        <v>367</v>
      </c>
      <c r="B10" s="1" t="s">
        <v>368</v>
      </c>
      <c r="C10" s="1" t="s">
        <v>15</v>
      </c>
      <c r="D10" s="1" t="s">
        <v>369</v>
      </c>
      <c r="E10" s="1"/>
      <c r="F10" s="4">
        <v>120000</v>
      </c>
      <c r="G10" s="1"/>
      <c r="H10" s="1"/>
      <c r="I10" s="1" t="s">
        <v>370</v>
      </c>
      <c r="J10" s="1" t="s">
        <v>75</v>
      </c>
      <c r="K10" s="1" t="s">
        <v>371</v>
      </c>
      <c r="L10" s="1" t="s">
        <v>19</v>
      </c>
      <c r="M10" s="1"/>
    </row>
    <row r="11" spans="1:13" x14ac:dyDescent="0.25">
      <c r="A11" s="1" t="s">
        <v>227</v>
      </c>
      <c r="B11" s="1" t="s">
        <v>228</v>
      </c>
      <c r="C11" s="1" t="s">
        <v>15</v>
      </c>
      <c r="D11" s="1" t="s">
        <v>229</v>
      </c>
      <c r="E11" s="1"/>
      <c r="F11" s="4">
        <v>129900</v>
      </c>
      <c r="G11" s="1"/>
      <c r="H11" s="1"/>
      <c r="I11" s="1" t="s">
        <v>230</v>
      </c>
      <c r="J11" s="1" t="s">
        <v>75</v>
      </c>
      <c r="K11" s="1" t="s">
        <v>231</v>
      </c>
      <c r="L11" s="1" t="s">
        <v>19</v>
      </c>
      <c r="M11" s="1"/>
    </row>
    <row r="12" spans="1:13" x14ac:dyDescent="0.25">
      <c r="A12" s="1" t="s">
        <v>112</v>
      </c>
      <c r="B12" s="1" t="s">
        <v>113</v>
      </c>
      <c r="C12" s="1" t="s">
        <v>15</v>
      </c>
      <c r="D12" s="1" t="s">
        <v>114</v>
      </c>
      <c r="E12" s="1"/>
      <c r="F12" s="4">
        <v>180000</v>
      </c>
      <c r="G12" s="1"/>
      <c r="H12" s="1"/>
      <c r="I12" s="1" t="s">
        <v>115</v>
      </c>
      <c r="J12" s="1" t="s">
        <v>75</v>
      </c>
      <c r="K12" s="1" t="s">
        <v>116</v>
      </c>
      <c r="L12" s="1" t="s">
        <v>19</v>
      </c>
      <c r="M12" s="1"/>
    </row>
    <row r="13" spans="1:13" x14ac:dyDescent="0.25">
      <c r="A13" s="1" t="s">
        <v>162</v>
      </c>
      <c r="B13" s="1" t="s">
        <v>163</v>
      </c>
      <c r="C13" s="1" t="s">
        <v>15</v>
      </c>
      <c r="D13" s="1" t="s">
        <v>164</v>
      </c>
      <c r="E13" s="1"/>
      <c r="F13" s="4">
        <v>180000</v>
      </c>
      <c r="G13" s="1"/>
      <c r="H13" s="1"/>
      <c r="I13" s="1" t="s">
        <v>165</v>
      </c>
      <c r="J13" s="1" t="s">
        <v>75</v>
      </c>
      <c r="K13" s="1" t="s">
        <v>166</v>
      </c>
      <c r="L13" s="1" t="s">
        <v>19</v>
      </c>
      <c r="M13" s="1"/>
    </row>
    <row r="14" spans="1:13" x14ac:dyDescent="0.25">
      <c r="A14" s="1" t="s">
        <v>177</v>
      </c>
      <c r="B14" s="1" t="s">
        <v>178</v>
      </c>
      <c r="C14" s="1" t="s">
        <v>15</v>
      </c>
      <c r="D14" s="1" t="s">
        <v>179</v>
      </c>
      <c r="E14" s="1"/>
      <c r="F14" s="4">
        <v>180000</v>
      </c>
      <c r="G14" s="1"/>
      <c r="H14" s="1"/>
      <c r="I14" s="1" t="s">
        <v>180</v>
      </c>
      <c r="J14" s="1" t="s">
        <v>75</v>
      </c>
      <c r="K14" s="1" t="s">
        <v>181</v>
      </c>
      <c r="L14" s="1" t="s">
        <v>19</v>
      </c>
      <c r="M14" s="1"/>
    </row>
    <row r="15" spans="1:13" x14ac:dyDescent="0.25">
      <c r="A15" s="1" t="s">
        <v>302</v>
      </c>
      <c r="B15" s="1" t="s">
        <v>303</v>
      </c>
      <c r="C15" s="1" t="s">
        <v>15</v>
      </c>
      <c r="D15" s="1" t="s">
        <v>304</v>
      </c>
      <c r="E15" s="1"/>
      <c r="F15" s="4">
        <v>180000</v>
      </c>
      <c r="G15" s="1"/>
      <c r="H15" s="1"/>
      <c r="I15" s="1" t="s">
        <v>305</v>
      </c>
      <c r="J15" s="1" t="s">
        <v>75</v>
      </c>
      <c r="K15" s="1" t="s">
        <v>306</v>
      </c>
      <c r="L15" s="1" t="s">
        <v>19</v>
      </c>
      <c r="M15" s="1"/>
    </row>
    <row r="16" spans="1:13" x14ac:dyDescent="0.25">
      <c r="A16" s="1" t="s">
        <v>372</v>
      </c>
      <c r="B16" s="1" t="s">
        <v>373</v>
      </c>
      <c r="C16" s="1" t="s">
        <v>15</v>
      </c>
      <c r="D16" s="1" t="s">
        <v>374</v>
      </c>
      <c r="E16" s="1"/>
      <c r="F16" s="4">
        <v>180000</v>
      </c>
      <c r="G16" s="1"/>
      <c r="H16" s="1"/>
      <c r="I16" s="1" t="s">
        <v>375</v>
      </c>
      <c r="J16" s="1" t="s">
        <v>75</v>
      </c>
      <c r="K16" s="1" t="s">
        <v>376</v>
      </c>
      <c r="L16" s="1" t="s">
        <v>19</v>
      </c>
      <c r="M16" s="1"/>
    </row>
    <row r="17" spans="1:13" x14ac:dyDescent="0.25">
      <c r="A17" s="1" t="s">
        <v>232</v>
      </c>
      <c r="B17" s="1" t="s">
        <v>233</v>
      </c>
      <c r="C17" s="1" t="s">
        <v>15</v>
      </c>
      <c r="D17" s="1" t="s">
        <v>234</v>
      </c>
      <c r="E17" s="1"/>
      <c r="F17" s="4">
        <v>249900</v>
      </c>
      <c r="G17" s="1"/>
      <c r="H17" s="1"/>
      <c r="I17" s="1" t="s">
        <v>235</v>
      </c>
      <c r="J17" s="1" t="s">
        <v>75</v>
      </c>
      <c r="K17" s="1" t="s">
        <v>236</v>
      </c>
      <c r="L17" s="1" t="s">
        <v>19</v>
      </c>
      <c r="M17" s="1"/>
    </row>
    <row r="18" spans="1:13" x14ac:dyDescent="0.25">
      <c r="A18" s="1" t="s">
        <v>182</v>
      </c>
      <c r="B18" s="1" t="s">
        <v>183</v>
      </c>
      <c r="C18" s="1" t="s">
        <v>15</v>
      </c>
      <c r="D18" s="1" t="s">
        <v>184</v>
      </c>
      <c r="E18" s="1"/>
      <c r="F18" s="4">
        <v>350000</v>
      </c>
      <c r="G18" s="1"/>
      <c r="H18" s="1"/>
      <c r="I18" s="1" t="s">
        <v>185</v>
      </c>
      <c r="J18" s="1" t="s">
        <v>75</v>
      </c>
      <c r="K18" s="1" t="s">
        <v>186</v>
      </c>
      <c r="L18" s="1" t="s">
        <v>19</v>
      </c>
      <c r="M18" s="1"/>
    </row>
    <row r="19" spans="1:13" x14ac:dyDescent="0.25">
      <c r="A19" s="1" t="s">
        <v>152</v>
      </c>
      <c r="B19" s="1" t="s">
        <v>153</v>
      </c>
      <c r="C19" s="1" t="s">
        <v>15</v>
      </c>
      <c r="D19" s="1" t="s">
        <v>154</v>
      </c>
      <c r="E19" s="1"/>
      <c r="F19" s="4">
        <v>450000</v>
      </c>
      <c r="G19" s="1"/>
      <c r="H19" s="1"/>
      <c r="I19" s="1" t="s">
        <v>155</v>
      </c>
      <c r="J19" s="1" t="s">
        <v>75</v>
      </c>
      <c r="K19" s="1" t="s">
        <v>156</v>
      </c>
      <c r="L19" s="1" t="s">
        <v>19</v>
      </c>
      <c r="M19" s="1"/>
    </row>
    <row r="20" spans="1:13" x14ac:dyDescent="0.25">
      <c r="A20" s="1" t="s">
        <v>252</v>
      </c>
      <c r="B20" s="1" t="s">
        <v>253</v>
      </c>
      <c r="C20" s="1" t="s">
        <v>15</v>
      </c>
      <c r="D20" s="1" t="s">
        <v>254</v>
      </c>
      <c r="E20" s="1"/>
      <c r="F20" s="4">
        <v>500000</v>
      </c>
      <c r="G20" s="1"/>
      <c r="H20" s="1"/>
      <c r="I20" s="1" t="s">
        <v>255</v>
      </c>
      <c r="J20" s="1" t="s">
        <v>75</v>
      </c>
      <c r="K20" s="1" t="s">
        <v>256</v>
      </c>
      <c r="L20" s="1" t="s">
        <v>19</v>
      </c>
      <c r="M20" s="1"/>
    </row>
    <row r="21" spans="1:13" x14ac:dyDescent="0.25">
      <c r="A21" s="1" t="s">
        <v>122</v>
      </c>
      <c r="B21" s="1" t="s">
        <v>123</v>
      </c>
      <c r="C21" s="1" t="s">
        <v>15</v>
      </c>
      <c r="D21" s="1" t="s">
        <v>124</v>
      </c>
      <c r="E21" s="1"/>
      <c r="F21" s="4">
        <v>600000</v>
      </c>
      <c r="G21" s="1"/>
      <c r="H21" s="1"/>
      <c r="I21" s="1" t="s">
        <v>125</v>
      </c>
      <c r="J21" s="1" t="s">
        <v>75</v>
      </c>
      <c r="K21" s="1" t="s">
        <v>126</v>
      </c>
      <c r="L21" s="1" t="s">
        <v>19</v>
      </c>
      <c r="M21" s="1"/>
    </row>
    <row r="22" spans="1:13" x14ac:dyDescent="0.25">
      <c r="A22" s="1" t="s">
        <v>312</v>
      </c>
      <c r="B22" s="1" t="s">
        <v>313</v>
      </c>
      <c r="C22" s="1" t="s">
        <v>15</v>
      </c>
      <c r="D22" s="1" t="s">
        <v>314</v>
      </c>
      <c r="E22" s="1"/>
      <c r="F22" s="4">
        <v>650000</v>
      </c>
      <c r="G22" s="1"/>
      <c r="H22" s="1"/>
      <c r="I22" s="1" t="s">
        <v>315</v>
      </c>
      <c r="J22" s="1" t="s">
        <v>75</v>
      </c>
      <c r="K22" s="1" t="s">
        <v>316</v>
      </c>
      <c r="L22" s="1" t="s">
        <v>19</v>
      </c>
      <c r="M22" s="1"/>
    </row>
    <row r="23" spans="1:13" x14ac:dyDescent="0.25">
      <c r="A23" s="1" t="s">
        <v>257</v>
      </c>
      <c r="B23" s="1" t="s">
        <v>258</v>
      </c>
      <c r="C23" s="1" t="s">
        <v>15</v>
      </c>
      <c r="D23" s="1" t="s">
        <v>259</v>
      </c>
      <c r="E23" s="1"/>
      <c r="F23" s="4">
        <v>800000</v>
      </c>
      <c r="G23" s="1"/>
      <c r="H23" s="1"/>
      <c r="I23" s="1" t="s">
        <v>260</v>
      </c>
      <c r="J23" s="1" t="s">
        <v>75</v>
      </c>
      <c r="K23" s="1" t="s">
        <v>261</v>
      </c>
      <c r="L23" s="1" t="s">
        <v>19</v>
      </c>
      <c r="M23" s="1"/>
    </row>
    <row r="24" spans="1:13" x14ac:dyDescent="0.25">
      <c r="A24" s="1" t="s">
        <v>207</v>
      </c>
      <c r="B24" s="1" t="s">
        <v>208</v>
      </c>
      <c r="C24" s="1" t="s">
        <v>15</v>
      </c>
      <c r="D24" s="1" t="s">
        <v>209</v>
      </c>
      <c r="E24" s="1"/>
      <c r="F24" s="4">
        <v>850000</v>
      </c>
      <c r="G24" s="1"/>
      <c r="H24" s="1"/>
      <c r="I24" s="1" t="s">
        <v>210</v>
      </c>
      <c r="J24" s="1" t="s">
        <v>75</v>
      </c>
      <c r="K24" s="1" t="s">
        <v>211</v>
      </c>
      <c r="L24" s="1" t="s">
        <v>19</v>
      </c>
      <c r="M24" s="1"/>
    </row>
    <row r="25" spans="1:13" x14ac:dyDescent="0.25">
      <c r="A25" s="1" t="s">
        <v>277</v>
      </c>
      <c r="B25" s="1" t="s">
        <v>278</v>
      </c>
      <c r="C25" s="1" t="s">
        <v>15</v>
      </c>
      <c r="D25" s="1" t="s">
        <v>279</v>
      </c>
      <c r="E25" s="1"/>
      <c r="F25" s="4">
        <v>850000</v>
      </c>
      <c r="G25" s="1"/>
      <c r="H25" s="1"/>
      <c r="I25" s="1" t="s">
        <v>280</v>
      </c>
      <c r="J25" s="1" t="s">
        <v>75</v>
      </c>
      <c r="K25" s="1" t="s">
        <v>281</v>
      </c>
      <c r="L25" s="1" t="s">
        <v>19</v>
      </c>
      <c r="M25" s="1"/>
    </row>
    <row r="26" spans="1:13" x14ac:dyDescent="0.25">
      <c r="A26" s="1" t="s">
        <v>187</v>
      </c>
      <c r="B26" s="1" t="s">
        <v>188</v>
      </c>
      <c r="C26" s="1" t="s">
        <v>15</v>
      </c>
      <c r="D26" s="1" t="s">
        <v>189</v>
      </c>
      <c r="E26" s="1"/>
      <c r="F26" s="4">
        <v>950000</v>
      </c>
      <c r="G26" s="1"/>
      <c r="H26" s="1"/>
      <c r="I26" s="1" t="s">
        <v>190</v>
      </c>
      <c r="J26" s="1" t="s">
        <v>75</v>
      </c>
      <c r="K26" s="1" t="s">
        <v>191</v>
      </c>
      <c r="L26" s="1" t="s">
        <v>19</v>
      </c>
      <c r="M26" s="1"/>
    </row>
    <row r="27" spans="1:13" x14ac:dyDescent="0.25">
      <c r="A27" s="1" t="s">
        <v>307</v>
      </c>
      <c r="B27" s="1" t="s">
        <v>308</v>
      </c>
      <c r="C27" s="1" t="s">
        <v>15</v>
      </c>
      <c r="D27" s="1" t="s">
        <v>309</v>
      </c>
      <c r="E27" s="1"/>
      <c r="F27" s="4">
        <v>950000</v>
      </c>
      <c r="G27" s="1"/>
      <c r="H27" s="1"/>
      <c r="I27" s="1" t="s">
        <v>310</v>
      </c>
      <c r="J27" s="1" t="s">
        <v>75</v>
      </c>
      <c r="K27" s="1" t="s">
        <v>311</v>
      </c>
      <c r="L27" s="1" t="s">
        <v>19</v>
      </c>
      <c r="M27" s="1"/>
    </row>
    <row r="28" spans="1:13" x14ac:dyDescent="0.25">
      <c r="A28" s="1" t="s">
        <v>71</v>
      </c>
      <c r="B28" s="1" t="s">
        <v>72</v>
      </c>
      <c r="C28" s="1" t="s">
        <v>15</v>
      </c>
      <c r="D28" s="1" t="s">
        <v>73</v>
      </c>
      <c r="E28" s="1"/>
      <c r="F28" s="4">
        <v>1500000</v>
      </c>
      <c r="G28" s="1"/>
      <c r="H28" s="1"/>
      <c r="I28" s="1" t="s">
        <v>74</v>
      </c>
      <c r="J28" s="1" t="s">
        <v>75</v>
      </c>
      <c r="K28" s="1" t="s">
        <v>76</v>
      </c>
      <c r="L28" s="1" t="s">
        <v>19</v>
      </c>
      <c r="M28" s="1"/>
    </row>
    <row r="29" spans="1:13" x14ac:dyDescent="0.25">
      <c r="A29" s="1" t="s">
        <v>132</v>
      </c>
      <c r="B29" s="1" t="s">
        <v>133</v>
      </c>
      <c r="C29" s="1" t="s">
        <v>15</v>
      </c>
      <c r="D29" s="1" t="s">
        <v>134</v>
      </c>
      <c r="E29" s="1"/>
      <c r="F29" s="4">
        <v>1500000</v>
      </c>
      <c r="G29" s="1"/>
      <c r="H29" s="1"/>
      <c r="I29" s="1" t="s">
        <v>135</v>
      </c>
      <c r="J29" s="1" t="s">
        <v>75</v>
      </c>
      <c r="K29" s="1" t="s">
        <v>136</v>
      </c>
      <c r="L29" s="1" t="s">
        <v>19</v>
      </c>
      <c r="M29" s="1"/>
    </row>
    <row r="30" spans="1:13" x14ac:dyDescent="0.25">
      <c r="A30" s="1" t="s">
        <v>262</v>
      </c>
      <c r="B30" s="1" t="s">
        <v>263</v>
      </c>
      <c r="C30" s="1" t="s">
        <v>15</v>
      </c>
      <c r="D30" s="1" t="s">
        <v>264</v>
      </c>
      <c r="E30" s="1"/>
      <c r="F30" s="4">
        <v>1500000</v>
      </c>
      <c r="G30" s="1"/>
      <c r="H30" s="1"/>
      <c r="I30" s="1" t="s">
        <v>265</v>
      </c>
      <c r="J30" s="1" t="s">
        <v>75</v>
      </c>
      <c r="K30" s="1" t="s">
        <v>266</v>
      </c>
      <c r="L30" s="1" t="s">
        <v>19</v>
      </c>
      <c r="M30" s="1"/>
    </row>
    <row r="31" spans="1:13" x14ac:dyDescent="0.25">
      <c r="A31" s="1" t="s">
        <v>322</v>
      </c>
      <c r="B31" s="1" t="s">
        <v>323</v>
      </c>
      <c r="C31" s="1" t="s">
        <v>15</v>
      </c>
      <c r="D31" s="1" t="s">
        <v>324</v>
      </c>
      <c r="E31" s="1"/>
      <c r="F31" s="4">
        <v>1500000</v>
      </c>
      <c r="G31" s="1"/>
      <c r="H31" s="1"/>
      <c r="I31" s="1" t="s">
        <v>325</v>
      </c>
      <c r="J31" s="1" t="s">
        <v>75</v>
      </c>
      <c r="K31" s="1" t="s">
        <v>326</v>
      </c>
      <c r="L31" s="1" t="s">
        <v>19</v>
      </c>
      <c r="M31" s="1"/>
    </row>
    <row r="32" spans="1:13" x14ac:dyDescent="0.25">
      <c r="A32" s="1" t="s">
        <v>212</v>
      </c>
      <c r="B32" s="1" t="s">
        <v>213</v>
      </c>
      <c r="C32" s="1" t="s">
        <v>15</v>
      </c>
      <c r="D32" s="1" t="s">
        <v>214</v>
      </c>
      <c r="E32" s="1"/>
      <c r="F32" s="4">
        <v>1800000</v>
      </c>
      <c r="G32" s="1"/>
      <c r="H32" s="1"/>
      <c r="I32" s="1" t="s">
        <v>215</v>
      </c>
      <c r="J32" s="1" t="s">
        <v>75</v>
      </c>
      <c r="K32" s="1" t="s">
        <v>216</v>
      </c>
      <c r="L32" s="1" t="s">
        <v>19</v>
      </c>
      <c r="M32" s="1"/>
    </row>
    <row r="33" spans="1:13" x14ac:dyDescent="0.25">
      <c r="A33" s="1" t="s">
        <v>327</v>
      </c>
      <c r="B33" s="1" t="s">
        <v>328</v>
      </c>
      <c r="C33" s="1" t="s">
        <v>15</v>
      </c>
      <c r="D33" s="1" t="s">
        <v>329</v>
      </c>
      <c r="E33" s="1"/>
      <c r="F33" s="4">
        <v>1800000</v>
      </c>
      <c r="G33" s="1"/>
      <c r="H33" s="1"/>
      <c r="I33" s="1" t="s">
        <v>330</v>
      </c>
      <c r="J33" s="1" t="s">
        <v>75</v>
      </c>
      <c r="K33" s="1" t="s">
        <v>331</v>
      </c>
      <c r="L33" s="1" t="s">
        <v>19</v>
      </c>
      <c r="M33" s="1"/>
    </row>
    <row r="34" spans="1:13" x14ac:dyDescent="0.25">
      <c r="A34" s="1" t="s">
        <v>87</v>
      </c>
      <c r="B34" s="1" t="s">
        <v>88</v>
      </c>
      <c r="C34" s="1" t="s">
        <v>15</v>
      </c>
      <c r="D34" s="1" t="s">
        <v>89</v>
      </c>
      <c r="E34" s="1"/>
      <c r="F34" s="4">
        <v>2000000</v>
      </c>
      <c r="G34" s="1"/>
      <c r="H34" s="1"/>
      <c r="I34" s="1" t="s">
        <v>90</v>
      </c>
      <c r="J34" s="1" t="s">
        <v>75</v>
      </c>
      <c r="K34" s="1" t="s">
        <v>91</v>
      </c>
      <c r="L34" s="1" t="s">
        <v>19</v>
      </c>
      <c r="M34" s="1"/>
    </row>
    <row r="35" spans="1:13" x14ac:dyDescent="0.25">
      <c r="A35" s="1" t="s">
        <v>137</v>
      </c>
      <c r="B35" s="1" t="s">
        <v>138</v>
      </c>
      <c r="C35" s="1" t="s">
        <v>15</v>
      </c>
      <c r="D35" s="1" t="s">
        <v>139</v>
      </c>
      <c r="E35" s="1"/>
      <c r="F35" s="4">
        <v>2000000</v>
      </c>
      <c r="G35" s="1"/>
      <c r="H35" s="1"/>
      <c r="I35" s="1" t="s">
        <v>140</v>
      </c>
      <c r="J35" s="1" t="s">
        <v>75</v>
      </c>
      <c r="K35" s="1" t="s">
        <v>141</v>
      </c>
      <c r="L35" s="1" t="s">
        <v>19</v>
      </c>
      <c r="M35" s="1"/>
    </row>
    <row r="36" spans="1:13" x14ac:dyDescent="0.25">
      <c r="A36" s="1" t="s">
        <v>267</v>
      </c>
      <c r="B36" s="1" t="s">
        <v>268</v>
      </c>
      <c r="C36" s="1" t="s">
        <v>15</v>
      </c>
      <c r="D36" s="1" t="s">
        <v>269</v>
      </c>
      <c r="E36" s="1"/>
      <c r="F36" s="4">
        <v>2000000</v>
      </c>
      <c r="G36" s="1"/>
      <c r="H36" s="1"/>
      <c r="I36" s="1" t="s">
        <v>270</v>
      </c>
      <c r="J36" s="1" t="s">
        <v>75</v>
      </c>
      <c r="K36" s="1" t="s">
        <v>271</v>
      </c>
      <c r="L36" s="1" t="s">
        <v>19</v>
      </c>
      <c r="M36" s="1"/>
    </row>
    <row r="37" spans="1:13" x14ac:dyDescent="0.25">
      <c r="A37" s="1" t="s">
        <v>282</v>
      </c>
      <c r="B37" s="1" t="s">
        <v>283</v>
      </c>
      <c r="C37" s="1" t="s">
        <v>15</v>
      </c>
      <c r="D37" s="1" t="s">
        <v>284</v>
      </c>
      <c r="E37" s="1"/>
      <c r="F37" s="4">
        <v>2250000</v>
      </c>
      <c r="G37" s="1"/>
      <c r="H37" s="1"/>
      <c r="I37" s="1" t="s">
        <v>285</v>
      </c>
      <c r="J37" s="1" t="s">
        <v>75</v>
      </c>
      <c r="K37" s="1" t="s">
        <v>286</v>
      </c>
      <c r="L37" s="1" t="s">
        <v>19</v>
      </c>
      <c r="M37" s="1"/>
    </row>
    <row r="38" spans="1:13" x14ac:dyDescent="0.25">
      <c r="A38" s="1" t="s">
        <v>127</v>
      </c>
      <c r="B38" s="1" t="s">
        <v>128</v>
      </c>
      <c r="C38" s="1" t="s">
        <v>15</v>
      </c>
      <c r="D38" s="1" t="s">
        <v>129</v>
      </c>
      <c r="E38" s="1"/>
      <c r="F38" s="4">
        <v>2500000</v>
      </c>
      <c r="G38" s="1"/>
      <c r="H38" s="1"/>
      <c r="I38" s="1" t="s">
        <v>130</v>
      </c>
      <c r="J38" s="1" t="s">
        <v>75</v>
      </c>
      <c r="K38" s="1" t="s">
        <v>131</v>
      </c>
      <c r="L38" s="1" t="s">
        <v>19</v>
      </c>
      <c r="M38" s="1"/>
    </row>
    <row r="39" spans="1:13" x14ac:dyDescent="0.25">
      <c r="A39" s="1" t="s">
        <v>192</v>
      </c>
      <c r="B39" s="1" t="s">
        <v>193</v>
      </c>
      <c r="C39" s="1" t="s">
        <v>15</v>
      </c>
      <c r="D39" s="1" t="s">
        <v>194</v>
      </c>
      <c r="E39" s="1"/>
      <c r="F39" s="4">
        <v>2500000</v>
      </c>
      <c r="G39" s="1"/>
      <c r="H39" s="1"/>
      <c r="I39" s="1" t="s">
        <v>195</v>
      </c>
      <c r="J39" s="1" t="s">
        <v>75</v>
      </c>
      <c r="K39" s="1" t="s">
        <v>196</v>
      </c>
      <c r="L39" s="1" t="s">
        <v>19</v>
      </c>
      <c r="M39" s="1"/>
    </row>
    <row r="40" spans="1:13" x14ac:dyDescent="0.25">
      <c r="A40" s="1" t="s">
        <v>237</v>
      </c>
      <c r="B40" s="1" t="s">
        <v>238</v>
      </c>
      <c r="C40" s="1" t="s">
        <v>15</v>
      </c>
      <c r="D40" s="1" t="s">
        <v>239</v>
      </c>
      <c r="E40" s="1"/>
      <c r="F40" s="4">
        <v>2500000</v>
      </c>
      <c r="G40" s="1"/>
      <c r="H40" s="1"/>
      <c r="I40" s="1" t="s">
        <v>240</v>
      </c>
      <c r="J40" s="1" t="s">
        <v>75</v>
      </c>
      <c r="K40" s="1" t="s">
        <v>241</v>
      </c>
      <c r="L40" s="1" t="s">
        <v>19</v>
      </c>
      <c r="M40" s="1"/>
    </row>
    <row r="41" spans="1:13" x14ac:dyDescent="0.25">
      <c r="A41" s="1" t="s">
        <v>97</v>
      </c>
      <c r="B41" s="1" t="s">
        <v>98</v>
      </c>
      <c r="C41" s="1" t="s">
        <v>15</v>
      </c>
      <c r="D41" s="1" t="s">
        <v>99</v>
      </c>
      <c r="E41" s="1"/>
      <c r="F41" s="4">
        <v>2800000</v>
      </c>
      <c r="G41" s="1"/>
      <c r="H41" s="1"/>
      <c r="I41" s="1" t="s">
        <v>100</v>
      </c>
      <c r="J41" s="1" t="s">
        <v>75</v>
      </c>
      <c r="K41" s="1" t="s">
        <v>101</v>
      </c>
      <c r="L41" s="1" t="s">
        <v>19</v>
      </c>
      <c r="M41" s="1"/>
    </row>
    <row r="42" spans="1:13" x14ac:dyDescent="0.25">
      <c r="A42" s="1" t="s">
        <v>287</v>
      </c>
      <c r="B42" s="1" t="s">
        <v>288</v>
      </c>
      <c r="C42" s="1" t="s">
        <v>15</v>
      </c>
      <c r="D42" s="1" t="s">
        <v>289</v>
      </c>
      <c r="E42" s="1"/>
      <c r="F42" s="4">
        <v>3024000</v>
      </c>
      <c r="G42" s="1"/>
      <c r="H42" s="1"/>
      <c r="I42" s="1" t="s">
        <v>290</v>
      </c>
      <c r="J42" s="1" t="s">
        <v>75</v>
      </c>
      <c r="K42" s="1" t="s">
        <v>291</v>
      </c>
      <c r="L42" s="1" t="s">
        <v>19</v>
      </c>
      <c r="M42" s="1"/>
    </row>
    <row r="43" spans="1:13" x14ac:dyDescent="0.25">
      <c r="A43" s="1" t="s">
        <v>77</v>
      </c>
      <c r="B43" s="1" t="s">
        <v>78</v>
      </c>
      <c r="C43" s="1" t="s">
        <v>15</v>
      </c>
      <c r="D43" s="1" t="s">
        <v>79</v>
      </c>
      <c r="E43" s="1"/>
      <c r="F43" s="4">
        <v>3500000</v>
      </c>
      <c r="G43" s="1"/>
      <c r="H43" s="1"/>
      <c r="I43" s="1" t="s">
        <v>80</v>
      </c>
      <c r="J43" s="1" t="s">
        <v>75</v>
      </c>
      <c r="K43" s="1" t="s">
        <v>81</v>
      </c>
      <c r="L43" s="1" t="s">
        <v>19</v>
      </c>
      <c r="M43" s="1"/>
    </row>
    <row r="44" spans="1:13" x14ac:dyDescent="0.25">
      <c r="A44" s="1" t="s">
        <v>142</v>
      </c>
      <c r="B44" s="1" t="s">
        <v>143</v>
      </c>
      <c r="C44" s="1" t="s">
        <v>15</v>
      </c>
      <c r="D44" s="1" t="s">
        <v>144</v>
      </c>
      <c r="E44" s="1"/>
      <c r="F44" s="4">
        <v>3500000</v>
      </c>
      <c r="G44" s="1"/>
      <c r="H44" s="1"/>
      <c r="I44" s="1" t="s">
        <v>145</v>
      </c>
      <c r="J44" s="1" t="s">
        <v>75</v>
      </c>
      <c r="K44" s="1" t="s">
        <v>146</v>
      </c>
      <c r="L44" s="1" t="s">
        <v>19</v>
      </c>
      <c r="M44" s="1"/>
    </row>
    <row r="45" spans="1:13" x14ac:dyDescent="0.25">
      <c r="A45" s="1" t="s">
        <v>247</v>
      </c>
      <c r="B45" s="1" t="s">
        <v>248</v>
      </c>
      <c r="C45" s="1" t="s">
        <v>15</v>
      </c>
      <c r="D45" s="1" t="s">
        <v>249</v>
      </c>
      <c r="E45" s="1"/>
      <c r="F45" s="4">
        <v>4000000</v>
      </c>
      <c r="G45" s="1"/>
      <c r="H45" s="1"/>
      <c r="I45" s="1" t="s">
        <v>250</v>
      </c>
      <c r="J45" s="1" t="s">
        <v>75</v>
      </c>
      <c r="K45" s="1" t="s">
        <v>251</v>
      </c>
      <c r="L45" s="1" t="s">
        <v>19</v>
      </c>
      <c r="M45" s="1"/>
    </row>
    <row r="46" spans="1:13" x14ac:dyDescent="0.25">
      <c r="A46" s="1" t="s">
        <v>292</v>
      </c>
      <c r="B46" s="1" t="s">
        <v>293</v>
      </c>
      <c r="C46" s="1" t="s">
        <v>15</v>
      </c>
      <c r="D46" s="1" t="s">
        <v>294</v>
      </c>
      <c r="E46" s="1"/>
      <c r="F46" s="4">
        <v>4200000</v>
      </c>
      <c r="G46" s="1"/>
      <c r="H46" s="1"/>
      <c r="I46" s="1" t="s">
        <v>295</v>
      </c>
      <c r="J46" s="1" t="s">
        <v>75</v>
      </c>
      <c r="K46" s="1" t="s">
        <v>296</v>
      </c>
      <c r="L46" s="1" t="s">
        <v>19</v>
      </c>
      <c r="M46" s="1"/>
    </row>
    <row r="47" spans="1:13" x14ac:dyDescent="0.25">
      <c r="A47" s="1" t="s">
        <v>332</v>
      </c>
      <c r="B47" s="1" t="s">
        <v>333</v>
      </c>
      <c r="C47" s="1" t="s">
        <v>15</v>
      </c>
      <c r="D47" s="1" t="s">
        <v>334</v>
      </c>
      <c r="E47" s="1"/>
      <c r="F47" s="4">
        <v>4500000</v>
      </c>
      <c r="G47" s="1"/>
      <c r="H47" s="1"/>
      <c r="I47" s="1" t="s">
        <v>335</v>
      </c>
      <c r="J47" s="1" t="s">
        <v>75</v>
      </c>
      <c r="K47" s="1" t="s">
        <v>336</v>
      </c>
      <c r="L47" s="1" t="s">
        <v>19</v>
      </c>
      <c r="M47" s="1"/>
    </row>
    <row r="48" spans="1:13" x14ac:dyDescent="0.25">
      <c r="A48" s="1" t="s">
        <v>92</v>
      </c>
      <c r="B48" s="1" t="s">
        <v>93</v>
      </c>
      <c r="C48" s="1" t="s">
        <v>15</v>
      </c>
      <c r="D48" s="1" t="s">
        <v>94</v>
      </c>
      <c r="E48" s="1"/>
      <c r="F48" s="4">
        <v>5000000</v>
      </c>
      <c r="G48" s="1"/>
      <c r="H48" s="1"/>
      <c r="I48" s="1" t="s">
        <v>95</v>
      </c>
      <c r="J48" s="1" t="s">
        <v>75</v>
      </c>
      <c r="K48" s="1" t="s">
        <v>96</v>
      </c>
      <c r="L48" s="1" t="s">
        <v>19</v>
      </c>
      <c r="M48" s="1"/>
    </row>
    <row r="49" spans="1:13" x14ac:dyDescent="0.25">
      <c r="A49" s="1" t="s">
        <v>102</v>
      </c>
      <c r="B49" s="1" t="s">
        <v>103</v>
      </c>
      <c r="C49" s="1" t="s">
        <v>15</v>
      </c>
      <c r="D49" s="1" t="s">
        <v>104</v>
      </c>
      <c r="E49" s="1"/>
      <c r="F49" s="4">
        <v>6500000</v>
      </c>
      <c r="G49" s="1"/>
      <c r="H49" s="1"/>
      <c r="I49" s="1" t="s">
        <v>105</v>
      </c>
      <c r="J49" s="1" t="s">
        <v>75</v>
      </c>
      <c r="K49" s="1" t="s">
        <v>106</v>
      </c>
      <c r="L49" s="1" t="s">
        <v>19</v>
      </c>
      <c r="M49" s="1"/>
    </row>
    <row r="50" spans="1:13" x14ac:dyDescent="0.25">
      <c r="A50" s="1" t="s">
        <v>82</v>
      </c>
      <c r="B50" s="1" t="s">
        <v>83</v>
      </c>
      <c r="C50" s="1" t="s">
        <v>15</v>
      </c>
      <c r="D50" s="1" t="s">
        <v>84</v>
      </c>
      <c r="E50" s="1"/>
      <c r="F50" s="4">
        <v>7000000</v>
      </c>
      <c r="G50" s="1"/>
      <c r="H50" s="1"/>
      <c r="I50" s="1" t="s">
        <v>85</v>
      </c>
      <c r="J50" s="1" t="s">
        <v>75</v>
      </c>
      <c r="K50" s="1" t="s">
        <v>86</v>
      </c>
      <c r="L50" s="1" t="s">
        <v>19</v>
      </c>
      <c r="M50" s="1"/>
    </row>
    <row r="51" spans="1:13" x14ac:dyDescent="0.25">
      <c r="A51" s="1" t="s">
        <v>197</v>
      </c>
      <c r="B51" s="1" t="s">
        <v>198</v>
      </c>
      <c r="C51" s="1" t="s">
        <v>15</v>
      </c>
      <c r="D51" s="1" t="s">
        <v>199</v>
      </c>
      <c r="E51" s="1"/>
      <c r="F51" s="4">
        <v>7500000</v>
      </c>
      <c r="G51" s="1"/>
      <c r="H51" s="1"/>
      <c r="I51" s="1" t="s">
        <v>200</v>
      </c>
      <c r="J51" s="1" t="s">
        <v>75</v>
      </c>
      <c r="K51" s="1" t="s">
        <v>201</v>
      </c>
      <c r="L51" s="1" t="s">
        <v>19</v>
      </c>
      <c r="M51" s="1"/>
    </row>
    <row r="52" spans="1:13" x14ac:dyDescent="0.25">
      <c r="A52" s="1" t="s">
        <v>297</v>
      </c>
      <c r="B52" s="1" t="s">
        <v>298</v>
      </c>
      <c r="C52" s="1" t="s">
        <v>15</v>
      </c>
      <c r="D52" s="1" t="s">
        <v>299</v>
      </c>
      <c r="E52" s="1"/>
      <c r="F52" s="4">
        <v>7800000</v>
      </c>
      <c r="G52" s="1"/>
      <c r="H52" s="1"/>
      <c r="I52" s="1" t="s">
        <v>300</v>
      </c>
      <c r="J52" s="1" t="s">
        <v>75</v>
      </c>
      <c r="K52" s="1" t="s">
        <v>301</v>
      </c>
      <c r="L52" s="1" t="s">
        <v>19</v>
      </c>
      <c r="M52" s="1"/>
    </row>
    <row r="53" spans="1:13" x14ac:dyDescent="0.25">
      <c r="A53" s="1" t="s">
        <v>117</v>
      </c>
      <c r="B53" s="1" t="s">
        <v>118</v>
      </c>
      <c r="C53" s="1" t="s">
        <v>15</v>
      </c>
      <c r="D53" s="1" t="s">
        <v>119</v>
      </c>
      <c r="E53" s="1"/>
      <c r="F53" s="4">
        <v>8000000</v>
      </c>
      <c r="G53" s="1"/>
      <c r="H53" s="1"/>
      <c r="I53" s="1" t="s">
        <v>120</v>
      </c>
      <c r="J53" s="1" t="s">
        <v>75</v>
      </c>
      <c r="K53" s="1" t="s">
        <v>121</v>
      </c>
      <c r="L53" s="1" t="s">
        <v>19</v>
      </c>
      <c r="M53" s="1"/>
    </row>
    <row r="54" spans="1:13" x14ac:dyDescent="0.25">
      <c r="A54" s="1" t="s">
        <v>242</v>
      </c>
      <c r="B54" s="1" t="s">
        <v>243</v>
      </c>
      <c r="C54" s="1" t="s">
        <v>15</v>
      </c>
      <c r="D54" s="1" t="s">
        <v>244</v>
      </c>
      <c r="E54" s="1"/>
      <c r="F54" s="4">
        <v>8000000</v>
      </c>
      <c r="G54" s="1"/>
      <c r="H54" s="1"/>
      <c r="I54" s="1" t="s">
        <v>245</v>
      </c>
      <c r="J54" s="1" t="s">
        <v>75</v>
      </c>
      <c r="K54" s="1" t="s">
        <v>246</v>
      </c>
      <c r="L54" s="1" t="s">
        <v>19</v>
      </c>
      <c r="M54" s="1"/>
    </row>
    <row r="55" spans="1:13" x14ac:dyDescent="0.25">
      <c r="A55" s="1" t="s">
        <v>347</v>
      </c>
      <c r="B55" s="1" t="s">
        <v>348</v>
      </c>
      <c r="C55" s="1" t="s">
        <v>15</v>
      </c>
      <c r="D55" s="1" t="s">
        <v>349</v>
      </c>
      <c r="E55" s="1"/>
      <c r="F55" s="4">
        <v>8000000</v>
      </c>
      <c r="G55" s="1"/>
      <c r="H55" s="1"/>
      <c r="I55" s="1" t="s">
        <v>350</v>
      </c>
      <c r="J55" s="1" t="s">
        <v>75</v>
      </c>
      <c r="K55" s="1" t="s">
        <v>351</v>
      </c>
      <c r="L55" s="1" t="s">
        <v>19</v>
      </c>
      <c r="M55" s="1"/>
    </row>
    <row r="56" spans="1:13" x14ac:dyDescent="0.25">
      <c r="A56" s="1" t="s">
        <v>352</v>
      </c>
      <c r="B56" s="1" t="s">
        <v>353</v>
      </c>
      <c r="C56" s="1" t="s">
        <v>15</v>
      </c>
      <c r="D56" s="1" t="s">
        <v>354</v>
      </c>
      <c r="E56" s="1"/>
      <c r="F56" s="4">
        <v>9500000</v>
      </c>
      <c r="G56" s="1"/>
      <c r="H56" s="1"/>
      <c r="I56" s="1" t="s">
        <v>355</v>
      </c>
      <c r="J56" s="1" t="s">
        <v>75</v>
      </c>
      <c r="K56" s="1" t="s">
        <v>356</v>
      </c>
      <c r="L56" s="1" t="s">
        <v>19</v>
      </c>
      <c r="M56" s="1"/>
    </row>
    <row r="57" spans="1:13" x14ac:dyDescent="0.25">
      <c r="A57" s="1" t="s">
        <v>337</v>
      </c>
      <c r="B57" s="1" t="s">
        <v>338</v>
      </c>
      <c r="C57" s="1" t="s">
        <v>15</v>
      </c>
      <c r="D57" s="1" t="s">
        <v>339</v>
      </c>
      <c r="E57" s="1"/>
      <c r="F57" s="4">
        <v>12000000</v>
      </c>
      <c r="G57" s="1"/>
      <c r="H57" s="1"/>
      <c r="I57" s="1" t="s">
        <v>340</v>
      </c>
      <c r="J57" s="1" t="s">
        <v>75</v>
      </c>
      <c r="K57" s="1" t="s">
        <v>341</v>
      </c>
      <c r="L57" s="1" t="s">
        <v>19</v>
      </c>
      <c r="M57" s="1"/>
    </row>
    <row r="58" spans="1:13" x14ac:dyDescent="0.25">
      <c r="A58" s="1" t="s">
        <v>272</v>
      </c>
      <c r="B58" s="1" t="s">
        <v>273</v>
      </c>
      <c r="C58" s="1" t="s">
        <v>15</v>
      </c>
      <c r="D58" s="1" t="s">
        <v>274</v>
      </c>
      <c r="E58" s="1"/>
      <c r="F58" s="4">
        <v>15000000</v>
      </c>
      <c r="G58" s="1"/>
      <c r="H58" s="1"/>
      <c r="I58" s="1" t="s">
        <v>275</v>
      </c>
      <c r="J58" s="1" t="s">
        <v>75</v>
      </c>
      <c r="K58" s="1" t="s">
        <v>276</v>
      </c>
      <c r="L58" s="1" t="s">
        <v>19</v>
      </c>
      <c r="M58" s="1"/>
    </row>
    <row r="59" spans="1:13" x14ac:dyDescent="0.25">
      <c r="A59" s="1" t="s">
        <v>357</v>
      </c>
      <c r="B59" s="1" t="s">
        <v>358</v>
      </c>
      <c r="C59" s="1" t="s">
        <v>15</v>
      </c>
      <c r="D59" s="1" t="s">
        <v>359</v>
      </c>
      <c r="E59" s="1"/>
      <c r="F59" s="4">
        <v>15000000</v>
      </c>
      <c r="G59" s="1"/>
      <c r="H59" s="1"/>
      <c r="I59" s="1" t="s">
        <v>360</v>
      </c>
      <c r="J59" s="1" t="s">
        <v>75</v>
      </c>
      <c r="K59" s="1" t="s">
        <v>361</v>
      </c>
      <c r="L59" s="1" t="s">
        <v>19</v>
      </c>
      <c r="M59" s="1"/>
    </row>
    <row r="60" spans="1:13" x14ac:dyDescent="0.25">
      <c r="A60" s="1" t="s">
        <v>107</v>
      </c>
      <c r="B60" s="1" t="s">
        <v>108</v>
      </c>
      <c r="C60" s="1" t="s">
        <v>15</v>
      </c>
      <c r="D60" s="1" t="s">
        <v>109</v>
      </c>
      <c r="E60" s="1"/>
      <c r="F60" s="4">
        <v>18000000</v>
      </c>
      <c r="G60" s="1"/>
      <c r="H60" s="1"/>
      <c r="I60" s="1" t="s">
        <v>110</v>
      </c>
      <c r="J60" s="1" t="s">
        <v>75</v>
      </c>
      <c r="K60" s="1" t="s">
        <v>111</v>
      </c>
      <c r="L60" s="1" t="s">
        <v>19</v>
      </c>
      <c r="M60" s="1"/>
    </row>
    <row r="61" spans="1:13" x14ac:dyDescent="0.25">
      <c r="A61" s="1" t="s">
        <v>202</v>
      </c>
      <c r="B61" s="1" t="s">
        <v>203</v>
      </c>
      <c r="C61" s="1" t="s">
        <v>15</v>
      </c>
      <c r="D61" s="1" t="s">
        <v>204</v>
      </c>
      <c r="E61" s="1"/>
      <c r="F61" s="4">
        <v>20000000</v>
      </c>
      <c r="G61" s="1"/>
      <c r="H61" s="1"/>
      <c r="I61" s="1" t="s">
        <v>205</v>
      </c>
      <c r="J61" s="1" t="s">
        <v>75</v>
      </c>
      <c r="K61" s="1" t="s">
        <v>206</v>
      </c>
      <c r="L61" s="1" t="s">
        <v>19</v>
      </c>
      <c r="M61" s="1"/>
    </row>
    <row r="62" spans="1:13" x14ac:dyDescent="0.25">
      <c r="A62" s="1" t="s">
        <v>342</v>
      </c>
      <c r="B62" s="1" t="s">
        <v>343</v>
      </c>
      <c r="C62" s="1" t="s">
        <v>15</v>
      </c>
      <c r="D62" s="1" t="s">
        <v>344</v>
      </c>
      <c r="E62" s="1"/>
      <c r="F62" s="4">
        <v>35000000</v>
      </c>
      <c r="G62" s="1"/>
      <c r="H62" s="1"/>
      <c r="I62" s="1" t="s">
        <v>345</v>
      </c>
      <c r="J62" s="1" t="s">
        <v>75</v>
      </c>
      <c r="K62" s="1" t="s">
        <v>346</v>
      </c>
      <c r="L62" s="1" t="s">
        <v>19</v>
      </c>
      <c r="M6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A432-C72A-4F7B-9250-09033FFDFBD6}">
  <dimension ref="A1:M15"/>
  <sheetViews>
    <sheetView workbookViewId="0">
      <selection activeCell="E2" sqref="E2:E15"/>
    </sheetView>
  </sheetViews>
  <sheetFormatPr baseColWidth="10" defaultRowHeight="15" x14ac:dyDescent="0.25"/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50</v>
      </c>
      <c r="B2" s="2" t="str">
        <f t="shared" ref="B2:B8" si="0">I2</f>
        <v>Recordatorios de autocuidado</v>
      </c>
      <c r="C2" s="1" t="s">
        <v>15</v>
      </c>
      <c r="D2" s="1" t="s">
        <v>51</v>
      </c>
      <c r="E2" s="1"/>
      <c r="F2" s="4">
        <v>0</v>
      </c>
      <c r="G2" s="1"/>
      <c r="H2" s="1"/>
      <c r="I2" s="1" t="s">
        <v>52</v>
      </c>
      <c r="J2" s="1" t="s">
        <v>449</v>
      </c>
      <c r="K2" s="1" t="str">
        <f t="shared" ref="K2:K8" si="1">I2</f>
        <v>Recordatorios de autocuidado</v>
      </c>
      <c r="L2" s="1" t="s">
        <v>19</v>
      </c>
      <c r="M2" s="1"/>
    </row>
    <row r="3" spans="1:13" x14ac:dyDescent="0.25">
      <c r="A3" s="2" t="s">
        <v>53</v>
      </c>
      <c r="B3" s="2" t="str">
        <f t="shared" si="0"/>
        <v>Facturación electrónica</v>
      </c>
      <c r="C3" s="2" t="s">
        <v>15</v>
      </c>
      <c r="D3" s="2" t="s">
        <v>54</v>
      </c>
      <c r="E3" s="2"/>
      <c r="F3" s="5">
        <v>0</v>
      </c>
      <c r="G3" s="2"/>
      <c r="H3" s="2"/>
      <c r="I3" s="2" t="s">
        <v>55</v>
      </c>
      <c r="J3" s="1" t="s">
        <v>449</v>
      </c>
      <c r="K3" s="1" t="str">
        <f t="shared" si="1"/>
        <v>Facturación electrónica</v>
      </c>
      <c r="L3" s="2" t="s">
        <v>19</v>
      </c>
      <c r="M3" s="2"/>
    </row>
    <row r="4" spans="1:13" x14ac:dyDescent="0.25">
      <c r="A4" s="6" t="s">
        <v>56</v>
      </c>
      <c r="B4" s="2" t="str">
        <f t="shared" si="0"/>
        <v>Reserva en línea</v>
      </c>
      <c r="C4" s="6" t="s">
        <v>15</v>
      </c>
      <c r="D4" s="6" t="s">
        <v>57</v>
      </c>
      <c r="E4" s="6"/>
      <c r="F4" s="7">
        <v>0</v>
      </c>
      <c r="G4" s="6"/>
      <c r="H4" s="6"/>
      <c r="I4" s="6" t="s">
        <v>58</v>
      </c>
      <c r="J4" s="1" t="s">
        <v>449</v>
      </c>
      <c r="K4" s="1" t="str">
        <f t="shared" si="1"/>
        <v>Reserva en línea</v>
      </c>
      <c r="L4" s="6" t="s">
        <v>19</v>
      </c>
      <c r="M4" s="6"/>
    </row>
    <row r="5" spans="1:13" x14ac:dyDescent="0.25">
      <c r="A5" s="2" t="s">
        <v>59</v>
      </c>
      <c r="B5" s="2" t="str">
        <f t="shared" si="0"/>
        <v>Dashboard de bienestar institucional</v>
      </c>
      <c r="C5" s="2" t="s">
        <v>15</v>
      </c>
      <c r="D5" s="2" t="s">
        <v>60</v>
      </c>
      <c r="E5" s="2"/>
      <c r="F5" s="5">
        <v>0</v>
      </c>
      <c r="G5" s="2"/>
      <c r="H5" s="2"/>
      <c r="I5" s="2" t="s">
        <v>61</v>
      </c>
      <c r="J5" s="1" t="s">
        <v>449</v>
      </c>
      <c r="K5" s="1" t="str">
        <f t="shared" si="1"/>
        <v>Dashboard de bienestar institucional</v>
      </c>
      <c r="L5" s="2" t="s">
        <v>19</v>
      </c>
      <c r="M5" s="2"/>
    </row>
    <row r="6" spans="1:13" x14ac:dyDescent="0.25">
      <c r="A6" s="6" t="s">
        <v>62</v>
      </c>
      <c r="B6" s="2" t="str">
        <f t="shared" si="0"/>
        <v>Dashboard de bienestar</v>
      </c>
      <c r="C6" s="6" t="s">
        <v>15</v>
      </c>
      <c r="D6" s="6" t="s">
        <v>63</v>
      </c>
      <c r="E6" s="6"/>
      <c r="F6" s="7">
        <v>0</v>
      </c>
      <c r="G6" s="6"/>
      <c r="H6" s="6"/>
      <c r="I6" s="6" t="s">
        <v>64</v>
      </c>
      <c r="J6" s="1" t="s">
        <v>449</v>
      </c>
      <c r="K6" s="1" t="str">
        <f t="shared" si="1"/>
        <v>Dashboard de bienestar</v>
      </c>
      <c r="L6" s="6" t="s">
        <v>19</v>
      </c>
      <c r="M6" s="6"/>
    </row>
    <row r="7" spans="1:13" x14ac:dyDescent="0.25">
      <c r="A7" s="2" t="s">
        <v>65</v>
      </c>
      <c r="B7" s="2" t="str">
        <f t="shared" si="0"/>
        <v>Soporte prioritario</v>
      </c>
      <c r="C7" s="2" t="s">
        <v>15</v>
      </c>
      <c r="D7" s="2" t="s">
        <v>66</v>
      </c>
      <c r="E7" s="2"/>
      <c r="F7" s="5">
        <v>0</v>
      </c>
      <c r="G7" s="2"/>
      <c r="H7" s="2"/>
      <c r="I7" s="2" t="s">
        <v>67</v>
      </c>
      <c r="J7" s="1" t="s">
        <v>449</v>
      </c>
      <c r="K7" s="1" t="str">
        <f t="shared" si="1"/>
        <v>Soporte prioritario</v>
      </c>
      <c r="L7" s="2" t="s">
        <v>19</v>
      </c>
      <c r="M7" s="2"/>
    </row>
    <row r="8" spans="1:13" x14ac:dyDescent="0.25">
      <c r="A8" s="6" t="s">
        <v>68</v>
      </c>
      <c r="B8" s="2" t="str">
        <f t="shared" si="0"/>
        <v>Asesor dedicado</v>
      </c>
      <c r="C8" s="6" t="s">
        <v>15</v>
      </c>
      <c r="D8" s="6" t="s">
        <v>69</v>
      </c>
      <c r="E8" s="6"/>
      <c r="F8" s="7">
        <v>0</v>
      </c>
      <c r="G8" s="6"/>
      <c r="H8" s="6"/>
      <c r="I8" s="6" t="s">
        <v>70</v>
      </c>
      <c r="J8" s="1" t="s">
        <v>449</v>
      </c>
      <c r="K8" s="1" t="str">
        <f t="shared" si="1"/>
        <v>Asesor dedicado</v>
      </c>
      <c r="L8" s="6" t="s">
        <v>19</v>
      </c>
      <c r="M8" s="6"/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/>
      <c r="F9" s="4">
        <v>0</v>
      </c>
      <c r="G9" s="1"/>
      <c r="H9" s="1"/>
      <c r="I9" s="1" t="s">
        <v>17</v>
      </c>
      <c r="J9" s="1" t="s">
        <v>449</v>
      </c>
      <c r="K9" s="1" t="s">
        <v>18</v>
      </c>
      <c r="L9" s="1" t="s">
        <v>19</v>
      </c>
      <c r="M9" s="1"/>
    </row>
    <row r="10" spans="1:13" x14ac:dyDescent="0.25">
      <c r="A10" s="1" t="s">
        <v>25</v>
      </c>
      <c r="B10" s="1" t="s">
        <v>26</v>
      </c>
      <c r="C10" s="1" t="s">
        <v>15</v>
      </c>
      <c r="D10" s="1" t="s">
        <v>27</v>
      </c>
      <c r="E10" s="1"/>
      <c r="F10" s="4">
        <v>0</v>
      </c>
      <c r="G10" s="1"/>
      <c r="H10" s="1"/>
      <c r="I10" s="1" t="s">
        <v>28</v>
      </c>
      <c r="J10" s="1" t="s">
        <v>449</v>
      </c>
      <c r="K10" s="1" t="s">
        <v>29</v>
      </c>
      <c r="L10" s="1" t="s">
        <v>19</v>
      </c>
      <c r="M10" s="1"/>
    </row>
    <row r="11" spans="1:13" x14ac:dyDescent="0.25">
      <c r="A11" s="1" t="s">
        <v>45</v>
      </c>
      <c r="B11" s="1" t="s">
        <v>46</v>
      </c>
      <c r="C11" s="1" t="s">
        <v>15</v>
      </c>
      <c r="D11" s="1" t="s">
        <v>47</v>
      </c>
      <c r="E11" s="1"/>
      <c r="F11" s="4">
        <v>2500</v>
      </c>
      <c r="G11" s="1"/>
      <c r="H11" s="1"/>
      <c r="I11" s="1" t="s">
        <v>48</v>
      </c>
      <c r="J11" s="1" t="s">
        <v>449</v>
      </c>
      <c r="K11" s="1" t="s">
        <v>49</v>
      </c>
      <c r="L11" s="1" t="s">
        <v>19</v>
      </c>
      <c r="M11" s="1"/>
    </row>
    <row r="12" spans="1:13" x14ac:dyDescent="0.25">
      <c r="A12" s="1" t="s">
        <v>40</v>
      </c>
      <c r="B12" s="1" t="s">
        <v>41</v>
      </c>
      <c r="C12" s="1" t="s">
        <v>15</v>
      </c>
      <c r="D12" s="1" t="s">
        <v>42</v>
      </c>
      <c r="E12" s="1"/>
      <c r="F12" s="4">
        <v>3000</v>
      </c>
      <c r="G12" s="1"/>
      <c r="H12" s="1"/>
      <c r="I12" s="1" t="s">
        <v>43</v>
      </c>
      <c r="J12" s="1" t="s">
        <v>449</v>
      </c>
      <c r="K12" s="1" t="s">
        <v>44</v>
      </c>
      <c r="L12" s="1" t="s">
        <v>19</v>
      </c>
      <c r="M12" s="1"/>
    </row>
    <row r="13" spans="1:13" x14ac:dyDescent="0.25">
      <c r="A13" s="1" t="s">
        <v>30</v>
      </c>
      <c r="B13" s="1" t="s">
        <v>31</v>
      </c>
      <c r="C13" s="1" t="s">
        <v>15</v>
      </c>
      <c r="D13" s="1" t="s">
        <v>32</v>
      </c>
      <c r="E13" s="1"/>
      <c r="F13" s="4">
        <v>3500</v>
      </c>
      <c r="G13" s="1"/>
      <c r="H13" s="1"/>
      <c r="I13" s="1" t="s">
        <v>33</v>
      </c>
      <c r="J13" s="1" t="s">
        <v>449</v>
      </c>
      <c r="K13" s="1" t="s">
        <v>34</v>
      </c>
      <c r="L13" s="1" t="s">
        <v>19</v>
      </c>
      <c r="M13" s="1"/>
    </row>
    <row r="14" spans="1:13" x14ac:dyDescent="0.25">
      <c r="A14" s="1" t="s">
        <v>35</v>
      </c>
      <c r="B14" s="1" t="s">
        <v>36</v>
      </c>
      <c r="C14" s="1" t="s">
        <v>15</v>
      </c>
      <c r="D14" s="1" t="s">
        <v>37</v>
      </c>
      <c r="E14" s="1"/>
      <c r="F14" s="4">
        <v>3500</v>
      </c>
      <c r="G14" s="1"/>
      <c r="H14" s="1"/>
      <c r="I14" s="1" t="s">
        <v>38</v>
      </c>
      <c r="J14" s="1" t="s">
        <v>449</v>
      </c>
      <c r="K14" s="1" t="s">
        <v>39</v>
      </c>
      <c r="L14" s="1" t="s">
        <v>19</v>
      </c>
      <c r="M14" s="1"/>
    </row>
    <row r="15" spans="1:13" x14ac:dyDescent="0.25">
      <c r="A15" s="1" t="s">
        <v>20</v>
      </c>
      <c r="B15" s="1" t="s">
        <v>21</v>
      </c>
      <c r="C15" s="1" t="s">
        <v>15</v>
      </c>
      <c r="D15" s="1" t="s">
        <v>22</v>
      </c>
      <c r="E15" s="1"/>
      <c r="F15" s="4">
        <v>80000</v>
      </c>
      <c r="G15" s="1"/>
      <c r="H15" s="1"/>
      <c r="I15" s="1" t="s">
        <v>23</v>
      </c>
      <c r="J15" s="1" t="s">
        <v>449</v>
      </c>
      <c r="K15" s="1" t="s">
        <v>24</v>
      </c>
      <c r="L15" s="1" t="s">
        <v>19</v>
      </c>
      <c r="M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ZennOn</vt:lpstr>
      <vt:lpstr>Planika</vt:lpstr>
      <vt:lpstr>Dooq</vt:lpstr>
      <vt:lpstr>BFriends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Ivon Nayibe Rodríguez Vanegas</cp:lastModifiedBy>
  <dcterms:created xsi:type="dcterms:W3CDTF">2026-08-05T14:29:07Z</dcterms:created>
  <dcterms:modified xsi:type="dcterms:W3CDTF">2026-08-05T15:16:47Z</dcterms:modified>
</cp:coreProperties>
</file>